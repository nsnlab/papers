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esviolante/Dropbox (Personal)/TI_paper/ti-paper/Data/BehaviourStudy/Demographics_Thresh/"/>
    </mc:Choice>
  </mc:AlternateContent>
  <xr:revisionPtr revIDLastSave="0" documentId="13_ncr:1_{68B2D00A-AE4B-6C49-9DF9-190EE457597E}" xr6:coauthVersionLast="47" xr6:coauthVersionMax="47" xr10:uidLastSave="{00000000-0000-0000-0000-000000000000}"/>
  <bookViews>
    <workbookView xWindow="13220" yWindow="500" windowWidth="25180" windowHeight="18220" xr2:uid="{5AE99009-E543-0842-BAA9-3A454461C289}"/>
  </bookViews>
  <sheets>
    <sheet name="Demographic" sheetId="1" r:id="rId1"/>
    <sheet name="Head_size" sheetId="2" r:id="rId2"/>
    <sheet name="Sensation_threshol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D24" i="2" s="1"/>
  <c r="C23" i="2"/>
  <c r="E23" i="2" s="1"/>
  <c r="C22" i="2"/>
  <c r="G22" i="2" s="1"/>
  <c r="C21" i="2"/>
  <c r="G21" i="2" s="1"/>
  <c r="C20" i="2"/>
  <c r="D20" i="2" s="1"/>
  <c r="C19" i="2"/>
  <c r="E19" i="2" s="1"/>
  <c r="C18" i="2"/>
  <c r="G18" i="2" s="1"/>
  <c r="C17" i="2"/>
  <c r="D17" i="2" s="1"/>
  <c r="C16" i="2"/>
  <c r="G16" i="2" s="1"/>
  <c r="C15" i="2"/>
  <c r="G15" i="2" s="1"/>
  <c r="F14" i="2"/>
  <c r="C14" i="2"/>
  <c r="D14" i="2" s="1"/>
  <c r="C13" i="2"/>
  <c r="E13" i="2" s="1"/>
  <c r="C12" i="2"/>
  <c r="G12" i="2" s="1"/>
  <c r="F11" i="2"/>
  <c r="C11" i="2"/>
  <c r="G11" i="2" s="1"/>
  <c r="C10" i="2"/>
  <c r="D10" i="2" s="1"/>
  <c r="C9" i="2"/>
  <c r="E9" i="2" s="1"/>
  <c r="C8" i="2"/>
  <c r="G8" i="2" s="1"/>
  <c r="C7" i="2"/>
  <c r="D7" i="2" s="1"/>
  <c r="C6" i="2"/>
  <c r="E6" i="2" s="1"/>
  <c r="C5" i="2"/>
  <c r="E5" i="2" s="1"/>
  <c r="C4" i="2"/>
  <c r="G4" i="2" s="1"/>
  <c r="C3" i="2"/>
  <c r="G3" i="2" s="1"/>
  <c r="C25" i="1"/>
  <c r="C24" i="1"/>
  <c r="B25" i="1"/>
  <c r="B24" i="1"/>
  <c r="F22" i="2" l="1"/>
  <c r="F6" i="2"/>
  <c r="F3" i="2"/>
  <c r="D18" i="2"/>
  <c r="D22" i="2"/>
  <c r="E3" i="2"/>
  <c r="D8" i="2"/>
  <c r="E11" i="2"/>
  <c r="E22" i="2"/>
  <c r="E4" i="2"/>
  <c r="E12" i="2"/>
  <c r="F18" i="2"/>
  <c r="F4" i="2"/>
  <c r="F12" i="2"/>
  <c r="D16" i="2"/>
  <c r="F17" i="2"/>
  <c r="E21" i="2"/>
  <c r="F24" i="2"/>
  <c r="E7" i="2"/>
  <c r="E8" i="2"/>
  <c r="F10" i="2"/>
  <c r="E15" i="2"/>
  <c r="E16" i="2"/>
  <c r="F21" i="2"/>
  <c r="D4" i="2"/>
  <c r="F7" i="2"/>
  <c r="F8" i="2"/>
  <c r="D12" i="2"/>
  <c r="F15" i="2"/>
  <c r="F16" i="2"/>
  <c r="E18" i="2"/>
  <c r="F20" i="2"/>
  <c r="G13" i="2"/>
  <c r="G6" i="2"/>
  <c r="D6" i="2"/>
  <c r="G7" i="2"/>
  <c r="D3" i="2"/>
  <c r="F5" i="2"/>
  <c r="F9" i="2"/>
  <c r="E10" i="2"/>
  <c r="D11" i="2"/>
  <c r="F13" i="2"/>
  <c r="E14" i="2"/>
  <c r="D15" i="2"/>
  <c r="E17" i="2"/>
  <c r="F19" i="2"/>
  <c r="E20" i="2"/>
  <c r="D21" i="2"/>
  <c r="F23" i="2"/>
  <c r="E24" i="2"/>
  <c r="D5" i="2"/>
  <c r="D9" i="2"/>
  <c r="G10" i="2"/>
  <c r="D13" i="2"/>
  <c r="G14" i="2"/>
  <c r="G17" i="2"/>
  <c r="D19" i="2"/>
  <c r="G20" i="2"/>
  <c r="D23" i="2"/>
  <c r="G24" i="2"/>
  <c r="G5" i="2"/>
  <c r="G9" i="2"/>
  <c r="G19" i="2"/>
  <c r="G23" i="2"/>
</calcChain>
</file>

<file path=xl/sharedStrings.xml><?xml version="1.0" encoding="utf-8"?>
<sst xmlns="http://schemas.openxmlformats.org/spreadsheetml/2006/main" count="372" uniqueCount="91">
  <si>
    <t>Subject Number</t>
  </si>
  <si>
    <t>Gender</t>
  </si>
  <si>
    <t>Age</t>
  </si>
  <si>
    <t xml:space="preserve">Handedness </t>
  </si>
  <si>
    <t>S01</t>
  </si>
  <si>
    <t>F</t>
  </si>
  <si>
    <t>S02</t>
  </si>
  <si>
    <t>S03</t>
  </si>
  <si>
    <t>S04</t>
  </si>
  <si>
    <t>S05</t>
  </si>
  <si>
    <t>S06</t>
  </si>
  <si>
    <t>S07</t>
  </si>
  <si>
    <t>M</t>
  </si>
  <si>
    <t>S08</t>
  </si>
  <si>
    <t>S09</t>
  </si>
  <si>
    <t>S10</t>
  </si>
  <si>
    <t>S11</t>
  </si>
  <si>
    <t>S12</t>
  </si>
  <si>
    <t>S13</t>
  </si>
  <si>
    <t>S14</t>
  </si>
  <si>
    <t>S16</t>
  </si>
  <si>
    <t>S18</t>
  </si>
  <si>
    <t>S19</t>
  </si>
  <si>
    <t>S20</t>
  </si>
  <si>
    <t>S21</t>
  </si>
  <si>
    <t>S22</t>
  </si>
  <si>
    <t>Male</t>
  </si>
  <si>
    <t>Female</t>
  </si>
  <si>
    <t>R</t>
  </si>
  <si>
    <t>S15</t>
  </si>
  <si>
    <t>S17</t>
  </si>
  <si>
    <t>Left Hemisphere</t>
  </si>
  <si>
    <t>Right Hemisphere</t>
  </si>
  <si>
    <t>Subject</t>
  </si>
  <si>
    <t>circumference</t>
  </si>
  <si>
    <t>Half Circumference</t>
  </si>
  <si>
    <t>E1 (left ear anterior)</t>
  </si>
  <si>
    <t>E3 (left ear posterior)</t>
  </si>
  <si>
    <t>E2 (right anterior)</t>
  </si>
  <si>
    <t>E4 (right posterior)</t>
  </si>
  <si>
    <r>
      <rPr>
        <sz val="12"/>
        <color rgb="FFFF0000"/>
        <rFont val="Calibri (Body)_x0000_"/>
      </rPr>
      <t>Intructions</t>
    </r>
    <r>
      <rPr>
        <sz val="12"/>
        <color theme="1"/>
        <rFont val="Calibri"/>
        <family val="2"/>
        <scheme val="minor"/>
      </rPr>
      <t>: Insert the subject number and the measurement for half-circumference (in cm). Keeping the tape at 0 in the nasion, mark the points for each electrode in each hemisphere. Note: You need to change the tape from hemisphere to hemisphere to mark the locations</t>
    </r>
  </si>
  <si>
    <t>Session 2</t>
  </si>
  <si>
    <t>Session 1</t>
  </si>
  <si>
    <t xml:space="preserve">tACS (5Hz) </t>
  </si>
  <si>
    <t>CF = 2000Hz, MF = 5z</t>
  </si>
  <si>
    <t>Subject ID</t>
  </si>
  <si>
    <t xml:space="preserve"> E1 - E2</t>
  </si>
  <si>
    <t>E3-E4</t>
  </si>
  <si>
    <t>Sensation Threshold (mA)</t>
  </si>
  <si>
    <t xml:space="preserve">Sensation </t>
  </si>
  <si>
    <t>Max applied</t>
  </si>
  <si>
    <t>Impedance</t>
  </si>
  <si>
    <t xml:space="preserve">Max applied </t>
  </si>
  <si>
    <t xml:space="preserve">pinprick </t>
  </si>
  <si>
    <t>pinprick</t>
  </si>
  <si>
    <t>stinging</t>
  </si>
  <si>
    <t>tingling</t>
  </si>
  <si>
    <t xml:space="preserve">tingling </t>
  </si>
  <si>
    <t>vibrations</t>
  </si>
  <si>
    <t>none</t>
  </si>
  <si>
    <t>pinpick</t>
  </si>
  <si>
    <t>numbing</t>
  </si>
  <si>
    <t>pressure</t>
  </si>
  <si>
    <t>phosphenes</t>
  </si>
  <si>
    <t>pulling</t>
  </si>
  <si>
    <t>push/pull</t>
  </si>
  <si>
    <t>white noise</t>
  </si>
  <si>
    <t>heat</t>
  </si>
  <si>
    <t>pinching</t>
  </si>
  <si>
    <t>hair prickle</t>
  </si>
  <si>
    <t>pain</t>
  </si>
  <si>
    <t>pinpricks</t>
  </si>
  <si>
    <t>laughter?!</t>
  </si>
  <si>
    <t>tickling</t>
  </si>
  <si>
    <t>tichkling</t>
  </si>
  <si>
    <t>twitchiing</t>
  </si>
  <si>
    <t>twitching</t>
  </si>
  <si>
    <t>mild tingling</t>
  </si>
  <si>
    <t>pircing</t>
  </si>
  <si>
    <t>nonee</t>
  </si>
  <si>
    <t>slght pulling in occ reg</t>
  </si>
  <si>
    <t>faster pinpricks</t>
  </si>
  <si>
    <t>touch</t>
  </si>
  <si>
    <t>sting</t>
  </si>
  <si>
    <t>pinprik/small needle</t>
  </si>
  <si>
    <t>light tapping</t>
  </si>
  <si>
    <t>tinbgling</t>
  </si>
  <si>
    <t>slight tingling</t>
  </si>
  <si>
    <t>hair moving</t>
  </si>
  <si>
    <t>itchy</t>
  </si>
  <si>
    <t>headache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</si>
</sst>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Body)_x0000_"/>
    </font>
    <font>
      <b/>
      <sz val="4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1" xfId="0" applyFont="1" applyBorder="1"/>
    <xf numFmtId="0" fontId="1" fillId="0" borderId="2" xfId="0" applyFont="1" applyBorder="1"/>
    <xf numFmtId="0" fontId="0" fillId="5" borderId="0" xfId="0" applyFill="1" applyAlignment="1">
      <alignment horizontal="left" wrapText="1" shrinkToFit="1"/>
    </xf>
    <xf numFmtId="0" fontId="4" fillId="6" borderId="0" xfId="0" applyFont="1" applyFill="1"/>
    <xf numFmtId="0" fontId="2" fillId="6" borderId="0" xfId="0" applyFont="1" applyFill="1"/>
    <xf numFmtId="0" fontId="5" fillId="7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7F43-333F-A347-8972-362A049AAFF3}">
  <dimension ref="A1:E25"/>
  <sheetViews>
    <sheetView tabSelected="1" workbookViewId="0">
      <selection activeCell="E25" sqref="E25"/>
    </sheetView>
  </sheetViews>
  <sheetFormatPr baseColWidth="10" defaultRowHeight="16"/>
  <cols>
    <col min="1" max="1" width="14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t="s">
        <v>4</v>
      </c>
      <c r="B2" t="s">
        <v>5</v>
      </c>
      <c r="C2">
        <v>27</v>
      </c>
      <c r="D2" t="s">
        <v>28</v>
      </c>
    </row>
    <row r="3" spans="1:5">
      <c r="A3" t="s">
        <v>6</v>
      </c>
      <c r="B3" t="s">
        <v>5</v>
      </c>
      <c r="C3">
        <v>24</v>
      </c>
      <c r="D3" t="s">
        <v>28</v>
      </c>
    </row>
    <row r="4" spans="1:5">
      <c r="A4" t="s">
        <v>7</v>
      </c>
      <c r="B4" t="s">
        <v>5</v>
      </c>
      <c r="C4">
        <v>24</v>
      </c>
      <c r="D4" t="s">
        <v>28</v>
      </c>
    </row>
    <row r="5" spans="1:5">
      <c r="A5" t="s">
        <v>8</v>
      </c>
      <c r="B5" t="s">
        <v>5</v>
      </c>
      <c r="C5">
        <v>22</v>
      </c>
      <c r="D5" t="s">
        <v>28</v>
      </c>
    </row>
    <row r="6" spans="1:5">
      <c r="A6" t="s">
        <v>9</v>
      </c>
      <c r="B6" t="s">
        <v>5</v>
      </c>
      <c r="C6">
        <v>23</v>
      </c>
      <c r="D6" t="s">
        <v>28</v>
      </c>
    </row>
    <row r="7" spans="1:5">
      <c r="A7" t="s">
        <v>10</v>
      </c>
      <c r="B7" t="s">
        <v>5</v>
      </c>
      <c r="C7">
        <v>23</v>
      </c>
      <c r="D7" t="s">
        <v>28</v>
      </c>
    </row>
    <row r="8" spans="1:5">
      <c r="A8" t="s">
        <v>11</v>
      </c>
      <c r="B8" t="s">
        <v>12</v>
      </c>
      <c r="C8">
        <v>20</v>
      </c>
      <c r="D8" t="s">
        <v>28</v>
      </c>
    </row>
    <row r="9" spans="1:5">
      <c r="A9" t="s">
        <v>13</v>
      </c>
      <c r="B9" t="s">
        <v>5</v>
      </c>
      <c r="C9">
        <v>22</v>
      </c>
      <c r="D9" t="s">
        <v>28</v>
      </c>
    </row>
    <row r="10" spans="1:5">
      <c r="A10" t="s">
        <v>14</v>
      </c>
      <c r="B10" t="s">
        <v>12</v>
      </c>
      <c r="C10">
        <v>20</v>
      </c>
      <c r="D10" t="s">
        <v>28</v>
      </c>
    </row>
    <row r="11" spans="1:5">
      <c r="A11" t="s">
        <v>15</v>
      </c>
      <c r="B11" t="s">
        <v>12</v>
      </c>
      <c r="C11">
        <v>30</v>
      </c>
      <c r="D11" t="s">
        <v>28</v>
      </c>
    </row>
    <row r="12" spans="1:5">
      <c r="A12" t="s">
        <v>16</v>
      </c>
      <c r="B12" t="s">
        <v>12</v>
      </c>
      <c r="C12">
        <v>24</v>
      </c>
      <c r="D12" t="s">
        <v>28</v>
      </c>
    </row>
    <row r="13" spans="1:5">
      <c r="A13" t="s">
        <v>17</v>
      </c>
      <c r="B13" t="s">
        <v>12</v>
      </c>
      <c r="C13">
        <v>30</v>
      </c>
      <c r="D13" t="s">
        <v>28</v>
      </c>
    </row>
    <row r="14" spans="1:5">
      <c r="A14" t="s">
        <v>18</v>
      </c>
      <c r="B14" t="s">
        <v>12</v>
      </c>
      <c r="C14">
        <v>21</v>
      </c>
      <c r="D14" t="s">
        <v>28</v>
      </c>
    </row>
    <row r="15" spans="1:5">
      <c r="A15" t="s">
        <v>19</v>
      </c>
      <c r="B15" t="s">
        <v>5</v>
      </c>
      <c r="C15">
        <v>25</v>
      </c>
      <c r="D15" t="s">
        <v>28</v>
      </c>
    </row>
    <row r="16" spans="1:5">
      <c r="A16" t="s">
        <v>29</v>
      </c>
      <c r="B16" t="s">
        <v>12</v>
      </c>
      <c r="C16">
        <v>19</v>
      </c>
      <c r="D16" t="s">
        <v>28</v>
      </c>
    </row>
    <row r="17" spans="1:4">
      <c r="A17" t="s">
        <v>20</v>
      </c>
      <c r="B17" t="s">
        <v>12</v>
      </c>
      <c r="C17">
        <v>21</v>
      </c>
      <c r="D17" t="s">
        <v>28</v>
      </c>
    </row>
    <row r="18" spans="1:4">
      <c r="A18" t="s">
        <v>30</v>
      </c>
      <c r="B18" t="s">
        <v>12</v>
      </c>
      <c r="C18">
        <v>21</v>
      </c>
      <c r="D18" t="s">
        <v>28</v>
      </c>
    </row>
    <row r="19" spans="1:4">
      <c r="A19" t="s">
        <v>21</v>
      </c>
      <c r="B19" t="s">
        <v>5</v>
      </c>
      <c r="C19">
        <v>19</v>
      </c>
      <c r="D19" t="s">
        <v>28</v>
      </c>
    </row>
    <row r="20" spans="1:4">
      <c r="A20" t="s">
        <v>22</v>
      </c>
      <c r="B20" t="s">
        <v>12</v>
      </c>
      <c r="C20">
        <v>23</v>
      </c>
      <c r="D20" t="s">
        <v>28</v>
      </c>
    </row>
    <row r="21" spans="1:4">
      <c r="A21" t="s">
        <v>23</v>
      </c>
      <c r="B21" t="s">
        <v>5</v>
      </c>
      <c r="C21">
        <v>20</v>
      </c>
      <c r="D21" t="s">
        <v>28</v>
      </c>
    </row>
    <row r="22" spans="1:4">
      <c r="A22" t="s">
        <v>24</v>
      </c>
      <c r="B22" t="s">
        <v>12</v>
      </c>
      <c r="C22">
        <v>20</v>
      </c>
      <c r="D22" t="s">
        <v>28</v>
      </c>
    </row>
    <row r="24" spans="1:4">
      <c r="A24" t="s">
        <v>26</v>
      </c>
      <c r="B24">
        <f>COUNTIF(B2:B23, "M")</f>
        <v>11</v>
      </c>
      <c r="C24">
        <f>AVERAGE(C2:C22)</f>
        <v>22.761904761904763</v>
      </c>
    </row>
    <row r="25" spans="1:4">
      <c r="A25" t="s">
        <v>27</v>
      </c>
      <c r="B25">
        <f>COUNTIF(B2:B23, "F")</f>
        <v>10</v>
      </c>
      <c r="C25">
        <f>STDEV(C2:C22)</f>
        <v>3.1765509897491251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C71D-2463-2442-BD7C-DE934002DDD8}">
  <dimension ref="A1:I24"/>
  <sheetViews>
    <sheetView workbookViewId="0">
      <selection activeCell="D3" sqref="D3"/>
    </sheetView>
  </sheetViews>
  <sheetFormatPr baseColWidth="10" defaultRowHeight="16"/>
  <cols>
    <col min="1" max="1" width="18.33203125" bestFit="1" customWidth="1"/>
    <col min="9" max="9" width="92" customWidth="1"/>
  </cols>
  <sheetData>
    <row r="1" spans="1:9">
      <c r="A1" s="2"/>
      <c r="B1" s="2"/>
      <c r="C1" s="2"/>
      <c r="D1" s="24" t="s">
        <v>31</v>
      </c>
      <c r="E1" s="25"/>
      <c r="F1" s="26" t="s">
        <v>32</v>
      </c>
      <c r="G1" s="27"/>
    </row>
    <row r="2" spans="1:9" ht="51">
      <c r="A2" s="3" t="s">
        <v>33</v>
      </c>
      <c r="B2" s="4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7" t="s">
        <v>39</v>
      </c>
      <c r="I2" s="8" t="s">
        <v>40</v>
      </c>
    </row>
    <row r="3" spans="1:9">
      <c r="A3" s="2" t="s">
        <v>4</v>
      </c>
      <c r="B3" s="2">
        <v>57</v>
      </c>
      <c r="C3">
        <f t="shared" ref="C3:C24" si="0">B3/2</f>
        <v>28.5</v>
      </c>
      <c r="D3">
        <f t="shared" ref="D3:D20" si="1">(C3/2)-2.5</f>
        <v>11.75</v>
      </c>
      <c r="E3">
        <f t="shared" ref="E3:E24" si="2">(C3/2)+2.5</f>
        <v>16.75</v>
      </c>
      <c r="F3">
        <f t="shared" ref="F3:F24" si="3">(C3*0.2)-1</f>
        <v>4.7</v>
      </c>
      <c r="G3">
        <f t="shared" ref="G3:G24" si="4">(C3*0.2)+1+C3/2</f>
        <v>20.95</v>
      </c>
    </row>
    <row r="4" spans="1:9">
      <c r="A4" s="2" t="s">
        <v>6</v>
      </c>
      <c r="B4" s="2">
        <v>54</v>
      </c>
      <c r="C4">
        <f t="shared" si="0"/>
        <v>27</v>
      </c>
      <c r="D4">
        <f t="shared" si="1"/>
        <v>11</v>
      </c>
      <c r="E4">
        <f t="shared" si="2"/>
        <v>16</v>
      </c>
      <c r="F4">
        <f t="shared" si="3"/>
        <v>4.4000000000000004</v>
      </c>
      <c r="G4">
        <f t="shared" si="4"/>
        <v>19.899999999999999</v>
      </c>
    </row>
    <row r="5" spans="1:9">
      <c r="A5" s="2" t="s">
        <v>7</v>
      </c>
      <c r="B5" s="2">
        <v>54</v>
      </c>
      <c r="C5">
        <f t="shared" si="0"/>
        <v>27</v>
      </c>
      <c r="D5">
        <f t="shared" si="1"/>
        <v>11</v>
      </c>
      <c r="E5">
        <f t="shared" si="2"/>
        <v>16</v>
      </c>
      <c r="F5">
        <f t="shared" si="3"/>
        <v>4.4000000000000004</v>
      </c>
      <c r="G5">
        <f t="shared" si="4"/>
        <v>19.899999999999999</v>
      </c>
    </row>
    <row r="6" spans="1:9">
      <c r="A6" s="2" t="s">
        <v>8</v>
      </c>
      <c r="B6" s="2">
        <v>53.5</v>
      </c>
      <c r="C6">
        <f t="shared" si="0"/>
        <v>26.75</v>
      </c>
      <c r="D6">
        <f t="shared" si="1"/>
        <v>10.875</v>
      </c>
      <c r="E6">
        <f t="shared" si="2"/>
        <v>15.875</v>
      </c>
      <c r="F6">
        <f t="shared" si="3"/>
        <v>4.3500000000000005</v>
      </c>
      <c r="G6">
        <f t="shared" si="4"/>
        <v>19.725000000000001</v>
      </c>
    </row>
    <row r="7" spans="1:9">
      <c r="A7" s="2" t="s">
        <v>9</v>
      </c>
      <c r="B7" s="2">
        <v>57</v>
      </c>
      <c r="C7">
        <f t="shared" si="0"/>
        <v>28.5</v>
      </c>
      <c r="D7">
        <f t="shared" si="1"/>
        <v>11.75</v>
      </c>
      <c r="E7">
        <f t="shared" si="2"/>
        <v>16.75</v>
      </c>
      <c r="F7">
        <f t="shared" si="3"/>
        <v>4.7</v>
      </c>
      <c r="G7">
        <f t="shared" si="4"/>
        <v>20.95</v>
      </c>
    </row>
    <row r="8" spans="1:9">
      <c r="A8" s="2" t="s">
        <v>10</v>
      </c>
      <c r="B8" s="2">
        <v>55</v>
      </c>
      <c r="C8">
        <f t="shared" si="0"/>
        <v>27.5</v>
      </c>
      <c r="D8">
        <f t="shared" si="1"/>
        <v>11.25</v>
      </c>
      <c r="E8">
        <f t="shared" si="2"/>
        <v>16.25</v>
      </c>
      <c r="F8">
        <f t="shared" si="3"/>
        <v>4.5</v>
      </c>
      <c r="G8">
        <f t="shared" si="4"/>
        <v>20.25</v>
      </c>
    </row>
    <row r="9" spans="1:9">
      <c r="A9" s="2" t="s">
        <v>11</v>
      </c>
      <c r="B9" s="2">
        <v>56</v>
      </c>
      <c r="C9">
        <f t="shared" si="0"/>
        <v>28</v>
      </c>
      <c r="D9">
        <f t="shared" si="1"/>
        <v>11.5</v>
      </c>
      <c r="E9">
        <f t="shared" si="2"/>
        <v>16.5</v>
      </c>
      <c r="F9">
        <f t="shared" si="3"/>
        <v>4.6000000000000005</v>
      </c>
      <c r="G9">
        <f t="shared" si="4"/>
        <v>20.6</v>
      </c>
    </row>
    <row r="10" spans="1:9">
      <c r="A10" s="2" t="s">
        <v>13</v>
      </c>
      <c r="B10" s="2">
        <v>55</v>
      </c>
      <c r="C10">
        <f t="shared" si="0"/>
        <v>27.5</v>
      </c>
      <c r="D10">
        <f t="shared" si="1"/>
        <v>11.25</v>
      </c>
      <c r="E10">
        <f t="shared" si="2"/>
        <v>16.25</v>
      </c>
      <c r="F10">
        <f t="shared" si="3"/>
        <v>4.5</v>
      </c>
      <c r="G10">
        <f t="shared" si="4"/>
        <v>20.25</v>
      </c>
    </row>
    <row r="11" spans="1:9">
      <c r="A11" s="2" t="s">
        <v>14</v>
      </c>
      <c r="B11" s="2">
        <v>58</v>
      </c>
      <c r="C11">
        <f t="shared" si="0"/>
        <v>29</v>
      </c>
      <c r="D11">
        <f t="shared" si="1"/>
        <v>12</v>
      </c>
      <c r="E11">
        <f t="shared" si="2"/>
        <v>17</v>
      </c>
      <c r="F11">
        <f t="shared" si="3"/>
        <v>4.8000000000000007</v>
      </c>
      <c r="G11">
        <f t="shared" si="4"/>
        <v>21.3</v>
      </c>
    </row>
    <row r="12" spans="1:9">
      <c r="A12" s="2" t="s">
        <v>15</v>
      </c>
      <c r="B12" s="2">
        <v>55.5</v>
      </c>
      <c r="C12">
        <f t="shared" si="0"/>
        <v>27.75</v>
      </c>
      <c r="D12">
        <f t="shared" si="1"/>
        <v>11.375</v>
      </c>
      <c r="E12">
        <f t="shared" si="2"/>
        <v>16.375</v>
      </c>
      <c r="F12">
        <f t="shared" si="3"/>
        <v>4.5500000000000007</v>
      </c>
      <c r="G12">
        <f t="shared" si="4"/>
        <v>20.425000000000001</v>
      </c>
    </row>
    <row r="13" spans="1:9">
      <c r="A13" s="2" t="s">
        <v>16</v>
      </c>
      <c r="B13" s="2">
        <v>56</v>
      </c>
      <c r="C13">
        <f t="shared" si="0"/>
        <v>28</v>
      </c>
      <c r="D13">
        <f t="shared" si="1"/>
        <v>11.5</v>
      </c>
      <c r="E13">
        <f t="shared" si="2"/>
        <v>16.5</v>
      </c>
      <c r="F13">
        <f t="shared" si="3"/>
        <v>4.6000000000000005</v>
      </c>
      <c r="G13">
        <f t="shared" si="4"/>
        <v>20.6</v>
      </c>
    </row>
    <row r="14" spans="1:9">
      <c r="A14" s="2" t="s">
        <v>17</v>
      </c>
      <c r="B14" s="2">
        <v>60</v>
      </c>
      <c r="C14">
        <f t="shared" si="0"/>
        <v>30</v>
      </c>
      <c r="D14">
        <f t="shared" si="1"/>
        <v>12.5</v>
      </c>
      <c r="E14">
        <f t="shared" si="2"/>
        <v>17.5</v>
      </c>
      <c r="F14">
        <f t="shared" si="3"/>
        <v>5</v>
      </c>
      <c r="G14">
        <f t="shared" si="4"/>
        <v>22</v>
      </c>
    </row>
    <row r="15" spans="1:9">
      <c r="A15" s="2" t="s">
        <v>18</v>
      </c>
      <c r="B15" s="2">
        <v>58.5</v>
      </c>
      <c r="C15">
        <f>B15/2</f>
        <v>29.25</v>
      </c>
      <c r="D15">
        <f t="shared" si="1"/>
        <v>12.125</v>
      </c>
      <c r="E15">
        <f t="shared" si="2"/>
        <v>17.125</v>
      </c>
      <c r="F15">
        <f t="shared" si="3"/>
        <v>4.8500000000000005</v>
      </c>
      <c r="G15">
        <f t="shared" si="4"/>
        <v>21.475000000000001</v>
      </c>
    </row>
    <row r="16" spans="1:9">
      <c r="A16" s="2" t="s">
        <v>19</v>
      </c>
      <c r="B16" s="2">
        <v>57.5</v>
      </c>
      <c r="C16">
        <f t="shared" ref="C16" si="5">B16/2</f>
        <v>28.75</v>
      </c>
      <c r="D16">
        <f t="shared" si="1"/>
        <v>11.875</v>
      </c>
      <c r="E16">
        <f t="shared" si="2"/>
        <v>16.875</v>
      </c>
      <c r="F16">
        <f t="shared" si="3"/>
        <v>4.75</v>
      </c>
      <c r="G16">
        <f t="shared" si="4"/>
        <v>21.125</v>
      </c>
    </row>
    <row r="17" spans="1:7">
      <c r="A17" s="2" t="s">
        <v>29</v>
      </c>
      <c r="B17" s="2">
        <v>54.5</v>
      </c>
      <c r="C17">
        <f t="shared" si="0"/>
        <v>27.25</v>
      </c>
      <c r="D17">
        <f t="shared" si="1"/>
        <v>11.125</v>
      </c>
      <c r="E17">
        <f t="shared" si="2"/>
        <v>16.125</v>
      </c>
      <c r="F17">
        <f t="shared" si="3"/>
        <v>4.45</v>
      </c>
      <c r="G17">
        <f t="shared" si="4"/>
        <v>20.074999999999999</v>
      </c>
    </row>
    <row r="18" spans="1:7">
      <c r="A18" s="2" t="s">
        <v>20</v>
      </c>
      <c r="B18" s="2">
        <v>54</v>
      </c>
      <c r="C18">
        <f t="shared" si="0"/>
        <v>27</v>
      </c>
      <c r="D18">
        <f t="shared" si="1"/>
        <v>11</v>
      </c>
      <c r="E18">
        <f t="shared" si="2"/>
        <v>16</v>
      </c>
      <c r="F18">
        <f t="shared" si="3"/>
        <v>4.4000000000000004</v>
      </c>
      <c r="G18">
        <f t="shared" si="4"/>
        <v>19.899999999999999</v>
      </c>
    </row>
    <row r="19" spans="1:7">
      <c r="A19" s="2" t="s">
        <v>30</v>
      </c>
      <c r="B19" s="2">
        <v>55.5</v>
      </c>
      <c r="C19">
        <f t="shared" si="0"/>
        <v>27.75</v>
      </c>
      <c r="D19">
        <f t="shared" si="1"/>
        <v>11.375</v>
      </c>
      <c r="E19">
        <f t="shared" si="2"/>
        <v>16.375</v>
      </c>
      <c r="F19">
        <f t="shared" si="3"/>
        <v>4.5500000000000007</v>
      </c>
      <c r="G19">
        <f t="shared" si="4"/>
        <v>20.425000000000001</v>
      </c>
    </row>
    <row r="20" spans="1:7">
      <c r="A20" s="2" t="s">
        <v>21</v>
      </c>
      <c r="B20" s="2">
        <v>52</v>
      </c>
      <c r="C20">
        <f t="shared" si="0"/>
        <v>26</v>
      </c>
      <c r="D20">
        <f t="shared" si="1"/>
        <v>10.5</v>
      </c>
      <c r="E20">
        <f t="shared" si="2"/>
        <v>15.5</v>
      </c>
      <c r="F20">
        <f t="shared" si="3"/>
        <v>4.2</v>
      </c>
      <c r="G20">
        <f t="shared" si="4"/>
        <v>19.2</v>
      </c>
    </row>
    <row r="21" spans="1:7">
      <c r="A21" s="2" t="s">
        <v>22</v>
      </c>
      <c r="B21" s="2">
        <v>54</v>
      </c>
      <c r="C21">
        <f t="shared" si="0"/>
        <v>27</v>
      </c>
      <c r="D21">
        <f>(C21/2)-2.5</f>
        <v>11</v>
      </c>
      <c r="E21">
        <f t="shared" si="2"/>
        <v>16</v>
      </c>
      <c r="F21">
        <f t="shared" si="3"/>
        <v>4.4000000000000004</v>
      </c>
      <c r="G21">
        <f t="shared" si="4"/>
        <v>19.899999999999999</v>
      </c>
    </row>
    <row r="22" spans="1:7">
      <c r="A22" s="2" t="s">
        <v>23</v>
      </c>
      <c r="B22" s="2">
        <v>54.5</v>
      </c>
      <c r="C22">
        <f t="shared" si="0"/>
        <v>27.25</v>
      </c>
      <c r="D22">
        <f>(C22/2)-2.5</f>
        <v>11.125</v>
      </c>
      <c r="E22">
        <f t="shared" si="2"/>
        <v>16.125</v>
      </c>
      <c r="F22">
        <f t="shared" si="3"/>
        <v>4.45</v>
      </c>
      <c r="G22">
        <f t="shared" si="4"/>
        <v>20.074999999999999</v>
      </c>
    </row>
    <row r="23" spans="1:7">
      <c r="A23" s="2" t="s">
        <v>25</v>
      </c>
      <c r="B23" s="2">
        <v>56</v>
      </c>
      <c r="C23">
        <f t="shared" si="0"/>
        <v>28</v>
      </c>
      <c r="D23">
        <f>(C23/2)-2.5</f>
        <v>11.5</v>
      </c>
      <c r="E23">
        <f t="shared" si="2"/>
        <v>16.5</v>
      </c>
      <c r="F23">
        <f t="shared" si="3"/>
        <v>4.6000000000000005</v>
      </c>
      <c r="G23">
        <f t="shared" si="4"/>
        <v>20.6</v>
      </c>
    </row>
    <row r="24" spans="1:7">
      <c r="A24" s="2" t="s">
        <v>24</v>
      </c>
      <c r="B24" s="2">
        <v>59.5</v>
      </c>
      <c r="C24">
        <f t="shared" si="0"/>
        <v>29.75</v>
      </c>
      <c r="D24">
        <f t="shared" ref="D24" si="6">(C24/2)-2.5</f>
        <v>12.375</v>
      </c>
      <c r="E24">
        <f t="shared" si="2"/>
        <v>17.375</v>
      </c>
      <c r="F24">
        <f t="shared" si="3"/>
        <v>4.95</v>
      </c>
      <c r="G24">
        <f t="shared" si="4"/>
        <v>21.824999999999999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0A6A-B7A4-C946-865C-9BFBBFDECAF3}">
  <dimension ref="A1:V54"/>
  <sheetViews>
    <sheetView zoomScale="80" zoomScaleNormal="80" workbookViewId="0">
      <selection activeCell="O46" sqref="O46"/>
    </sheetView>
  </sheetViews>
  <sheetFormatPr baseColWidth="10" defaultRowHeight="16"/>
  <cols>
    <col min="1" max="1" width="13.83203125" bestFit="1" customWidth="1"/>
    <col min="2" max="2" width="22.6640625" bestFit="1" customWidth="1"/>
    <col min="3" max="5" width="11.1640625"/>
    <col min="6" max="6" width="22.6640625" bestFit="1" customWidth="1"/>
    <col min="7" max="8" width="11.1640625"/>
    <col min="9" max="9" width="10.1640625" bestFit="1" customWidth="1"/>
    <col min="10" max="10" width="22.6640625" bestFit="1" customWidth="1"/>
    <col min="11" max="12" width="11.1640625"/>
    <col min="13" max="13" width="10.1640625" bestFit="1" customWidth="1"/>
    <col min="14" max="14" width="22.6640625" bestFit="1" customWidth="1"/>
    <col min="15" max="15" width="27" bestFit="1" customWidth="1"/>
  </cols>
  <sheetData>
    <row r="1" spans="1:18" s="10" customFormat="1" ht="58" customHeight="1">
      <c r="A1" s="9" t="s">
        <v>42</v>
      </c>
    </row>
    <row r="3" spans="1:18" ht="19">
      <c r="A3" s="11"/>
      <c r="B3" s="28" t="s">
        <v>43</v>
      </c>
      <c r="C3" s="29"/>
      <c r="D3" s="29"/>
      <c r="E3" s="29"/>
      <c r="F3" s="29"/>
      <c r="G3" s="29"/>
      <c r="H3" s="29"/>
      <c r="I3" s="30"/>
      <c r="J3" s="28" t="s">
        <v>44</v>
      </c>
      <c r="K3" s="29"/>
      <c r="L3" s="29"/>
      <c r="M3" s="29"/>
      <c r="N3" s="29"/>
      <c r="O3" s="29"/>
      <c r="P3" s="29"/>
      <c r="Q3" s="30"/>
    </row>
    <row r="4" spans="1:18" ht="19">
      <c r="A4" s="11" t="s">
        <v>45</v>
      </c>
      <c r="B4" s="31" t="s">
        <v>46</v>
      </c>
      <c r="C4" s="31"/>
      <c r="D4" s="31"/>
      <c r="E4" s="31"/>
      <c r="F4" s="32" t="s">
        <v>47</v>
      </c>
      <c r="G4" s="32"/>
      <c r="H4" s="13"/>
      <c r="I4" s="13"/>
      <c r="J4" s="31" t="s">
        <v>46</v>
      </c>
      <c r="K4" s="31"/>
      <c r="L4" s="31"/>
      <c r="M4" s="31"/>
      <c r="N4" s="32" t="s">
        <v>47</v>
      </c>
      <c r="O4" s="32"/>
      <c r="P4" s="13"/>
      <c r="Q4" s="13"/>
    </row>
    <row r="5" spans="1:18" ht="19">
      <c r="A5" s="11"/>
      <c r="B5" s="14" t="s">
        <v>48</v>
      </c>
      <c r="C5" s="14" t="s">
        <v>49</v>
      </c>
      <c r="D5" s="14" t="s">
        <v>50</v>
      </c>
      <c r="E5" s="12" t="s">
        <v>51</v>
      </c>
      <c r="F5" s="13" t="s">
        <v>48</v>
      </c>
      <c r="G5" s="13" t="s">
        <v>49</v>
      </c>
      <c r="H5" s="13" t="s">
        <v>50</v>
      </c>
      <c r="I5" s="13" t="s">
        <v>51</v>
      </c>
      <c r="J5" s="12" t="s">
        <v>48</v>
      </c>
      <c r="K5" s="12" t="s">
        <v>49</v>
      </c>
      <c r="L5" s="12" t="s">
        <v>50</v>
      </c>
      <c r="M5" s="12" t="s">
        <v>51</v>
      </c>
      <c r="N5" s="13" t="s">
        <v>48</v>
      </c>
      <c r="O5" s="13" t="s">
        <v>49</v>
      </c>
      <c r="P5" s="13" t="s">
        <v>52</v>
      </c>
      <c r="Q5" s="13" t="s">
        <v>51</v>
      </c>
    </row>
    <row r="6" spans="1:18" ht="19">
      <c r="A6" s="11" t="s">
        <v>4</v>
      </c>
      <c r="B6" s="15">
        <v>0.3</v>
      </c>
      <c r="C6" s="15" t="s">
        <v>53</v>
      </c>
      <c r="D6" s="15">
        <v>0.5</v>
      </c>
      <c r="E6" s="16"/>
      <c r="F6" s="17">
        <v>0.3</v>
      </c>
      <c r="G6" s="17" t="s">
        <v>54</v>
      </c>
      <c r="H6" s="17">
        <v>0.5</v>
      </c>
      <c r="I6" s="17"/>
      <c r="J6" s="16">
        <v>2</v>
      </c>
      <c r="K6" s="16" t="s">
        <v>54</v>
      </c>
      <c r="L6" s="16">
        <v>2</v>
      </c>
      <c r="M6" s="16"/>
      <c r="N6" s="17">
        <v>2</v>
      </c>
      <c r="O6" s="17" t="s">
        <v>54</v>
      </c>
      <c r="P6" s="17">
        <v>3</v>
      </c>
      <c r="Q6" s="17"/>
      <c r="R6" s="22"/>
    </row>
    <row r="7" spans="1:18" ht="19">
      <c r="A7" s="11" t="s">
        <v>6</v>
      </c>
      <c r="B7" s="15">
        <v>0.1</v>
      </c>
      <c r="C7" s="15" t="s">
        <v>55</v>
      </c>
      <c r="D7" s="15">
        <v>0.3</v>
      </c>
      <c r="E7" s="16"/>
      <c r="F7" s="17">
        <v>0.1</v>
      </c>
      <c r="G7" s="17" t="s">
        <v>55</v>
      </c>
      <c r="H7" s="17">
        <v>0.3</v>
      </c>
      <c r="I7" s="17"/>
      <c r="J7" s="16">
        <v>1.5</v>
      </c>
      <c r="K7" s="16" t="s">
        <v>55</v>
      </c>
      <c r="L7" s="16">
        <v>2</v>
      </c>
      <c r="M7" s="16"/>
      <c r="N7" s="17">
        <v>2</v>
      </c>
      <c r="O7" s="17" t="s">
        <v>55</v>
      </c>
      <c r="P7" s="17">
        <v>3</v>
      </c>
      <c r="Q7" s="17"/>
      <c r="R7" s="22"/>
    </row>
    <row r="8" spans="1:18" ht="19">
      <c r="A8" s="11" t="s">
        <v>7</v>
      </c>
      <c r="B8" s="15">
        <v>0.3</v>
      </c>
      <c r="C8" s="18" t="s">
        <v>53</v>
      </c>
      <c r="D8" s="15">
        <v>0.5</v>
      </c>
      <c r="E8" s="16"/>
      <c r="F8" s="17">
        <v>0.3</v>
      </c>
      <c r="G8" s="17" t="s">
        <v>54</v>
      </c>
      <c r="H8" s="17">
        <v>0.5</v>
      </c>
      <c r="I8" s="17"/>
      <c r="J8" s="16">
        <v>2</v>
      </c>
      <c r="K8" s="16" t="s">
        <v>56</v>
      </c>
      <c r="L8" s="16">
        <v>2</v>
      </c>
      <c r="M8" s="16"/>
      <c r="N8" s="17">
        <v>3</v>
      </c>
      <c r="O8" s="17" t="s">
        <v>56</v>
      </c>
      <c r="P8" s="17">
        <v>3</v>
      </c>
      <c r="Q8" s="17"/>
      <c r="R8" s="22"/>
    </row>
    <row r="9" spans="1:18" ht="19">
      <c r="A9" s="11" t="s">
        <v>8</v>
      </c>
      <c r="B9" s="15">
        <v>0.3</v>
      </c>
      <c r="C9" s="19" t="s">
        <v>57</v>
      </c>
      <c r="D9" s="15">
        <v>0.5</v>
      </c>
      <c r="E9" s="16"/>
      <c r="F9" s="17">
        <v>0.3</v>
      </c>
      <c r="G9" s="17" t="s">
        <v>56</v>
      </c>
      <c r="H9" s="17">
        <v>0.5</v>
      </c>
      <c r="I9" s="17"/>
      <c r="J9" s="16">
        <v>1.5</v>
      </c>
      <c r="K9" s="16" t="s">
        <v>58</v>
      </c>
      <c r="L9" s="16">
        <v>2</v>
      </c>
      <c r="M9" s="16"/>
      <c r="N9" s="17">
        <v>1.5</v>
      </c>
      <c r="O9" s="17" t="s">
        <v>58</v>
      </c>
      <c r="P9" s="17">
        <v>3</v>
      </c>
      <c r="Q9" s="20"/>
      <c r="R9" s="22"/>
    </row>
    <row r="10" spans="1:18" ht="19">
      <c r="A10" s="11" t="s">
        <v>9</v>
      </c>
      <c r="B10" s="15">
        <v>0.3</v>
      </c>
      <c r="C10" s="15" t="s">
        <v>57</v>
      </c>
      <c r="D10" s="15">
        <v>0.5</v>
      </c>
      <c r="E10" s="16"/>
      <c r="F10" s="17">
        <v>0.3</v>
      </c>
      <c r="G10" s="17" t="s">
        <v>56</v>
      </c>
      <c r="H10" s="17">
        <v>0.3</v>
      </c>
      <c r="I10" s="17"/>
      <c r="J10" s="16">
        <v>2</v>
      </c>
      <c r="K10" s="16" t="s">
        <v>59</v>
      </c>
      <c r="L10" s="16">
        <v>2</v>
      </c>
      <c r="M10" s="16"/>
      <c r="N10" s="17">
        <v>3</v>
      </c>
      <c r="O10" s="17" t="s">
        <v>59</v>
      </c>
      <c r="P10" s="17">
        <v>3</v>
      </c>
      <c r="Q10" s="17"/>
      <c r="R10" s="22"/>
    </row>
    <row r="11" spans="1:18" ht="19">
      <c r="A11" s="11" t="s">
        <v>10</v>
      </c>
      <c r="B11" s="15">
        <v>0.3</v>
      </c>
      <c r="C11" s="15" t="s">
        <v>60</v>
      </c>
      <c r="D11" s="15">
        <v>0.5</v>
      </c>
      <c r="E11" s="16"/>
      <c r="F11" s="17">
        <v>0.7</v>
      </c>
      <c r="G11" s="17" t="s">
        <v>56</v>
      </c>
      <c r="H11" s="17">
        <v>0.7</v>
      </c>
      <c r="I11" s="17"/>
      <c r="J11" s="16">
        <v>1</v>
      </c>
      <c r="K11" s="16" t="s">
        <v>61</v>
      </c>
      <c r="L11" s="16">
        <v>2</v>
      </c>
      <c r="M11" s="16"/>
      <c r="N11" s="17">
        <v>2</v>
      </c>
      <c r="O11" s="17" t="s">
        <v>56</v>
      </c>
      <c r="P11" s="17">
        <v>3</v>
      </c>
      <c r="Q11" s="17"/>
      <c r="R11" s="22"/>
    </row>
    <row r="12" spans="1:18" ht="19">
      <c r="A12" s="11" t="s">
        <v>11</v>
      </c>
      <c r="B12" s="15">
        <v>0.5</v>
      </c>
      <c r="C12" s="15" t="s">
        <v>57</v>
      </c>
      <c r="D12" s="15">
        <v>0.7</v>
      </c>
      <c r="E12" s="16"/>
      <c r="F12" s="17">
        <v>0.3</v>
      </c>
      <c r="G12" s="17" t="s">
        <v>56</v>
      </c>
      <c r="H12" s="17">
        <v>0.5</v>
      </c>
      <c r="I12" s="17"/>
      <c r="J12" s="16">
        <v>2</v>
      </c>
      <c r="K12" s="16" t="s">
        <v>59</v>
      </c>
      <c r="L12" s="16">
        <v>2</v>
      </c>
      <c r="M12" s="16"/>
      <c r="N12" s="17">
        <v>2.5</v>
      </c>
      <c r="O12" s="17" t="s">
        <v>62</v>
      </c>
      <c r="P12" s="17">
        <v>3</v>
      </c>
      <c r="Q12" s="17"/>
      <c r="R12" s="22"/>
    </row>
    <row r="13" spans="1:18" ht="19">
      <c r="A13" s="11" t="s">
        <v>13</v>
      </c>
      <c r="B13" s="15">
        <v>0.5</v>
      </c>
      <c r="C13" s="15" t="s">
        <v>53</v>
      </c>
      <c r="D13" s="15">
        <v>0.7</v>
      </c>
      <c r="E13" s="16"/>
      <c r="F13" s="17">
        <v>0.5</v>
      </c>
      <c r="G13" s="17" t="s">
        <v>54</v>
      </c>
      <c r="H13" s="17">
        <v>0.7</v>
      </c>
      <c r="I13" s="17"/>
      <c r="J13" s="16">
        <v>2</v>
      </c>
      <c r="K13" s="16" t="s">
        <v>59</v>
      </c>
      <c r="L13" s="16">
        <v>2</v>
      </c>
      <c r="M13" s="16"/>
      <c r="N13" s="17">
        <v>2</v>
      </c>
      <c r="O13" s="17" t="s">
        <v>59</v>
      </c>
      <c r="P13" s="17">
        <v>3</v>
      </c>
      <c r="Q13" s="17"/>
      <c r="R13" s="22"/>
    </row>
    <row r="14" spans="1:18" ht="19">
      <c r="A14" s="11" t="s">
        <v>14</v>
      </c>
      <c r="B14" s="15">
        <v>0.3</v>
      </c>
      <c r="C14" s="15" t="s">
        <v>55</v>
      </c>
      <c r="D14" s="15">
        <v>0.5</v>
      </c>
      <c r="E14" s="16"/>
      <c r="F14" s="17">
        <v>0.5</v>
      </c>
      <c r="G14" s="17" t="s">
        <v>55</v>
      </c>
      <c r="H14" s="17">
        <v>0.7</v>
      </c>
      <c r="I14" s="17"/>
      <c r="J14" s="16">
        <v>2</v>
      </c>
      <c r="K14" s="16" t="s">
        <v>58</v>
      </c>
      <c r="L14" s="16">
        <v>2</v>
      </c>
      <c r="M14" s="16"/>
      <c r="N14" s="17">
        <v>2</v>
      </c>
      <c r="O14" s="17" t="s">
        <v>58</v>
      </c>
      <c r="P14" s="17">
        <v>3</v>
      </c>
      <c r="Q14" s="17"/>
      <c r="R14" s="22"/>
    </row>
    <row r="15" spans="1:18" ht="19">
      <c r="A15" s="11" t="s">
        <v>15</v>
      </c>
      <c r="B15" s="15">
        <v>0.1</v>
      </c>
      <c r="C15" s="15" t="s">
        <v>60</v>
      </c>
      <c r="D15" s="15">
        <v>0.3</v>
      </c>
      <c r="E15" s="16"/>
      <c r="F15" s="17">
        <v>0.3</v>
      </c>
      <c r="G15" s="17" t="s">
        <v>54</v>
      </c>
      <c r="H15" s="17">
        <v>0.5</v>
      </c>
      <c r="I15" s="17"/>
      <c r="J15" s="16" t="s">
        <v>59</v>
      </c>
      <c r="K15" s="16" t="s">
        <v>59</v>
      </c>
      <c r="L15" s="16">
        <v>2</v>
      </c>
      <c r="M15" s="16"/>
      <c r="N15" s="17" t="s">
        <v>59</v>
      </c>
      <c r="O15" s="17" t="s">
        <v>59</v>
      </c>
      <c r="P15" s="17">
        <v>3</v>
      </c>
      <c r="Q15" s="17"/>
      <c r="R15" s="22"/>
    </row>
    <row r="16" spans="1:18" ht="19">
      <c r="A16" s="11" t="s">
        <v>16</v>
      </c>
      <c r="B16" s="15">
        <v>0.1</v>
      </c>
      <c r="C16" s="15" t="s">
        <v>57</v>
      </c>
      <c r="D16" s="15">
        <v>0.3</v>
      </c>
      <c r="E16" s="16"/>
      <c r="F16" s="17">
        <v>0.3</v>
      </c>
      <c r="G16" s="17" t="s">
        <v>56</v>
      </c>
      <c r="H16" s="17">
        <v>0.5</v>
      </c>
      <c r="I16" s="17"/>
      <c r="J16" s="16" t="s">
        <v>59</v>
      </c>
      <c r="K16" s="16" t="s">
        <v>59</v>
      </c>
      <c r="L16" s="16">
        <v>2</v>
      </c>
      <c r="M16" s="16"/>
      <c r="N16" s="17" t="s">
        <v>59</v>
      </c>
      <c r="O16" s="17" t="s">
        <v>59</v>
      </c>
      <c r="P16" s="17">
        <v>3</v>
      </c>
      <c r="Q16" s="17"/>
      <c r="R16" s="22"/>
    </row>
    <row r="17" spans="1:18" ht="19">
      <c r="A17" s="11" t="s">
        <v>17</v>
      </c>
      <c r="B17" s="15">
        <v>0.5</v>
      </c>
      <c r="C17" s="15" t="s">
        <v>57</v>
      </c>
      <c r="D17" s="15">
        <v>0.7</v>
      </c>
      <c r="E17" s="16"/>
      <c r="F17" s="17">
        <v>0.5</v>
      </c>
      <c r="G17" s="17" t="s">
        <v>56</v>
      </c>
      <c r="H17" s="17">
        <v>0.7</v>
      </c>
      <c r="I17" s="17"/>
      <c r="J17" s="16">
        <v>2</v>
      </c>
      <c r="K17" s="16" t="s">
        <v>59</v>
      </c>
      <c r="L17" s="16">
        <v>2</v>
      </c>
      <c r="M17" s="16"/>
      <c r="N17" s="17">
        <v>2</v>
      </c>
      <c r="O17" s="17" t="s">
        <v>59</v>
      </c>
      <c r="P17" s="17">
        <v>2</v>
      </c>
      <c r="Q17" s="17"/>
      <c r="R17" s="22"/>
    </row>
    <row r="18" spans="1:18" ht="19">
      <c r="A18" s="11" t="s">
        <v>18</v>
      </c>
      <c r="B18" s="15">
        <v>0.7</v>
      </c>
      <c r="C18" s="15" t="s">
        <v>63</v>
      </c>
      <c r="D18" s="15">
        <v>0.9</v>
      </c>
      <c r="E18" s="16"/>
      <c r="F18" s="17">
        <v>0.5</v>
      </c>
      <c r="G18" s="17" t="s">
        <v>64</v>
      </c>
      <c r="H18" s="17">
        <v>0.7</v>
      </c>
      <c r="I18" s="17"/>
      <c r="J18" s="16">
        <v>1</v>
      </c>
      <c r="K18" s="16" t="s">
        <v>65</v>
      </c>
      <c r="L18" s="16">
        <v>3</v>
      </c>
      <c r="M18" s="16"/>
      <c r="N18" s="17">
        <v>1</v>
      </c>
      <c r="O18" s="17" t="s">
        <v>65</v>
      </c>
      <c r="P18" s="17">
        <v>3</v>
      </c>
      <c r="Q18" s="17"/>
      <c r="R18" s="22"/>
    </row>
    <row r="19" spans="1:18" ht="19">
      <c r="A19" s="11" t="s">
        <v>19</v>
      </c>
      <c r="B19" s="15">
        <v>0.3</v>
      </c>
      <c r="C19" s="15" t="s">
        <v>53</v>
      </c>
      <c r="D19" s="15">
        <v>0.5</v>
      </c>
      <c r="E19" s="16"/>
      <c r="F19" s="17">
        <v>0.1</v>
      </c>
      <c r="G19" s="17" t="s">
        <v>54</v>
      </c>
      <c r="H19" s="17">
        <v>0.3</v>
      </c>
      <c r="I19" s="17"/>
      <c r="J19" s="16">
        <v>1</v>
      </c>
      <c r="K19" s="16" t="s">
        <v>66</v>
      </c>
      <c r="L19" s="16">
        <v>3</v>
      </c>
      <c r="M19" s="16"/>
      <c r="N19" s="17">
        <v>1</v>
      </c>
      <c r="O19" s="17" t="s">
        <v>66</v>
      </c>
      <c r="P19" s="17">
        <v>3</v>
      </c>
      <c r="Q19" s="17"/>
      <c r="R19" s="22"/>
    </row>
    <row r="20" spans="1:18" ht="19">
      <c r="A20" s="11" t="s">
        <v>29</v>
      </c>
      <c r="B20" s="15">
        <v>0.3</v>
      </c>
      <c r="C20" s="15" t="s">
        <v>53</v>
      </c>
      <c r="D20" s="15">
        <v>0.5</v>
      </c>
      <c r="E20" s="16"/>
      <c r="F20" s="17">
        <v>0.1</v>
      </c>
      <c r="G20" s="17" t="s">
        <v>67</v>
      </c>
      <c r="H20" s="17">
        <v>0.1</v>
      </c>
      <c r="I20" s="17"/>
      <c r="J20" s="16">
        <v>2</v>
      </c>
      <c r="K20" s="16" t="s">
        <v>54</v>
      </c>
      <c r="L20" s="16">
        <v>2</v>
      </c>
      <c r="M20" s="16"/>
      <c r="N20" s="17">
        <v>2</v>
      </c>
      <c r="O20" s="17" t="s">
        <v>54</v>
      </c>
      <c r="P20" s="17">
        <v>3</v>
      </c>
      <c r="Q20" s="17"/>
      <c r="R20" s="22"/>
    </row>
    <row r="21" spans="1:18" ht="19">
      <c r="A21" s="11" t="s">
        <v>20</v>
      </c>
      <c r="B21" s="15">
        <v>0.1</v>
      </c>
      <c r="C21" s="15" t="s">
        <v>56</v>
      </c>
      <c r="D21" s="15">
        <v>0.1</v>
      </c>
      <c r="E21" s="16"/>
      <c r="F21" s="17">
        <v>0.3</v>
      </c>
      <c r="G21" s="17" t="s">
        <v>56</v>
      </c>
      <c r="H21" s="17">
        <v>0.3</v>
      </c>
      <c r="I21" s="17"/>
      <c r="J21" s="16">
        <v>2</v>
      </c>
      <c r="K21" s="16" t="s">
        <v>56</v>
      </c>
      <c r="L21" s="16">
        <v>2</v>
      </c>
      <c r="M21" s="16"/>
      <c r="N21" s="17">
        <v>2.5</v>
      </c>
      <c r="O21" s="17" t="s">
        <v>56</v>
      </c>
      <c r="P21" s="17">
        <v>3</v>
      </c>
      <c r="Q21" s="17"/>
      <c r="R21" s="22"/>
    </row>
    <row r="22" spans="1:18" ht="19">
      <c r="A22" s="11" t="s">
        <v>30</v>
      </c>
      <c r="B22" s="15">
        <v>0.3</v>
      </c>
      <c r="C22" s="15" t="s">
        <v>68</v>
      </c>
      <c r="D22" s="15">
        <v>0.5</v>
      </c>
      <c r="E22" s="16"/>
      <c r="F22" s="17">
        <v>0.3</v>
      </c>
      <c r="G22" s="17" t="s">
        <v>54</v>
      </c>
      <c r="H22" s="17">
        <v>0.5</v>
      </c>
      <c r="I22" s="17"/>
      <c r="J22" s="16">
        <v>2</v>
      </c>
      <c r="K22" s="16" t="s">
        <v>59</v>
      </c>
      <c r="L22" s="16">
        <v>2</v>
      </c>
      <c r="M22" s="16"/>
      <c r="N22" s="17">
        <v>2</v>
      </c>
      <c r="O22" s="17" t="s">
        <v>69</v>
      </c>
      <c r="P22" s="17">
        <v>2</v>
      </c>
      <c r="Q22" s="17"/>
      <c r="R22" s="22"/>
    </row>
    <row r="23" spans="1:18" ht="19">
      <c r="A23" s="11" t="s">
        <v>21</v>
      </c>
      <c r="B23" s="16">
        <v>0.3</v>
      </c>
      <c r="C23" s="16" t="s">
        <v>53</v>
      </c>
      <c r="D23" s="16">
        <v>0.5</v>
      </c>
      <c r="E23" s="16"/>
      <c r="F23" s="17">
        <v>0.3</v>
      </c>
      <c r="G23" s="17" t="s">
        <v>54</v>
      </c>
      <c r="H23" s="17">
        <v>0.5</v>
      </c>
      <c r="I23" s="17"/>
      <c r="J23" s="16">
        <v>2</v>
      </c>
      <c r="K23" s="16" t="s">
        <v>59</v>
      </c>
      <c r="L23" s="16">
        <v>2</v>
      </c>
      <c r="M23" s="16"/>
      <c r="N23" s="17" t="s">
        <v>59</v>
      </c>
      <c r="O23" s="17" t="s">
        <v>59</v>
      </c>
      <c r="P23" s="17">
        <v>3</v>
      </c>
      <c r="Q23" s="17"/>
      <c r="R23" s="22"/>
    </row>
    <row r="24" spans="1:18" ht="19">
      <c r="A24" s="11" t="s">
        <v>22</v>
      </c>
      <c r="B24" s="16">
        <v>0.3</v>
      </c>
      <c r="C24" s="16" t="s">
        <v>53</v>
      </c>
      <c r="D24" s="16">
        <v>0.3</v>
      </c>
      <c r="E24" s="16"/>
      <c r="F24" s="17">
        <v>0.5</v>
      </c>
      <c r="G24" s="17" t="s">
        <v>54</v>
      </c>
      <c r="H24" s="17">
        <v>0.7</v>
      </c>
      <c r="I24" s="17"/>
      <c r="J24" s="16">
        <v>2</v>
      </c>
      <c r="K24" s="16" t="s">
        <v>56</v>
      </c>
      <c r="L24" s="16">
        <v>2</v>
      </c>
      <c r="M24" s="16"/>
      <c r="N24" s="17" t="s">
        <v>59</v>
      </c>
      <c r="O24" s="17" t="s">
        <v>59</v>
      </c>
      <c r="P24" s="17">
        <v>3</v>
      </c>
      <c r="Q24" s="17"/>
      <c r="R24" s="22"/>
    </row>
    <row r="25" spans="1:18" ht="19">
      <c r="A25" s="11" t="s">
        <v>23</v>
      </c>
      <c r="B25" s="16">
        <v>0.1</v>
      </c>
      <c r="C25" s="16" t="s">
        <v>54</v>
      </c>
      <c r="D25" s="16">
        <v>0.3</v>
      </c>
      <c r="E25" s="16"/>
      <c r="F25" s="17">
        <v>0.1</v>
      </c>
      <c r="G25" s="17" t="s">
        <v>54</v>
      </c>
      <c r="H25" s="17">
        <v>0.3</v>
      </c>
      <c r="I25" s="17"/>
      <c r="J25" s="16">
        <v>1.5</v>
      </c>
      <c r="K25" s="16" t="s">
        <v>70</v>
      </c>
      <c r="L25" s="21">
        <v>1.5</v>
      </c>
      <c r="M25" s="16"/>
      <c r="N25" s="17">
        <v>1.5</v>
      </c>
      <c r="O25" s="17" t="s">
        <v>70</v>
      </c>
      <c r="P25" s="17">
        <v>3</v>
      </c>
      <c r="Q25" s="17"/>
      <c r="R25" s="22"/>
    </row>
    <row r="26" spans="1:18" ht="19">
      <c r="A26" s="11" t="s">
        <v>24</v>
      </c>
      <c r="B26" s="15">
        <v>0.1</v>
      </c>
      <c r="C26" s="15" t="s">
        <v>53</v>
      </c>
      <c r="D26" s="15">
        <v>0.3</v>
      </c>
      <c r="E26" s="16"/>
      <c r="F26" s="17">
        <v>0.5</v>
      </c>
      <c r="G26" s="17" t="s">
        <v>71</v>
      </c>
      <c r="H26" s="17">
        <v>0.7</v>
      </c>
      <c r="I26" s="17"/>
      <c r="J26" s="16">
        <v>1</v>
      </c>
      <c r="K26" s="16" t="s">
        <v>72</v>
      </c>
      <c r="L26" s="16">
        <v>3</v>
      </c>
      <c r="M26" s="16"/>
      <c r="N26" s="17">
        <v>1</v>
      </c>
      <c r="O26" s="17" t="s">
        <v>72</v>
      </c>
      <c r="P26" s="17">
        <v>3</v>
      </c>
      <c r="Q26" s="17"/>
      <c r="R26" s="22"/>
    </row>
    <row r="29" spans="1:18" s="10" customFormat="1" ht="62">
      <c r="A29" s="9" t="s">
        <v>41</v>
      </c>
    </row>
    <row r="31" spans="1:18" ht="19">
      <c r="A31" s="11"/>
      <c r="B31" s="28" t="s">
        <v>43</v>
      </c>
      <c r="C31" s="29"/>
      <c r="D31" s="29"/>
      <c r="E31" s="29"/>
      <c r="F31" s="29"/>
      <c r="G31" s="29"/>
      <c r="H31" s="29"/>
      <c r="I31" s="30"/>
      <c r="J31" s="28" t="s">
        <v>44</v>
      </c>
      <c r="K31" s="29"/>
      <c r="L31" s="29"/>
      <c r="M31" s="29"/>
      <c r="N31" s="29"/>
      <c r="O31" s="29"/>
      <c r="P31" s="29"/>
      <c r="Q31" s="30"/>
    </row>
    <row r="32" spans="1:18" ht="19">
      <c r="A32" s="11" t="s">
        <v>45</v>
      </c>
      <c r="B32" s="31" t="s">
        <v>46</v>
      </c>
      <c r="C32" s="31"/>
      <c r="D32" s="31"/>
      <c r="E32" s="31"/>
      <c r="F32" s="32" t="s">
        <v>47</v>
      </c>
      <c r="G32" s="32"/>
      <c r="H32" s="13"/>
      <c r="I32" s="13"/>
      <c r="J32" s="31" t="s">
        <v>46</v>
      </c>
      <c r="K32" s="31"/>
      <c r="L32" s="31"/>
      <c r="M32" s="31"/>
      <c r="N32" s="32" t="s">
        <v>47</v>
      </c>
      <c r="O32" s="32"/>
      <c r="P32" s="13"/>
      <c r="Q32" s="13"/>
    </row>
    <row r="33" spans="1:22" ht="19">
      <c r="A33" s="11"/>
      <c r="B33" s="14" t="s">
        <v>48</v>
      </c>
      <c r="C33" s="14" t="s">
        <v>49</v>
      </c>
      <c r="D33" s="14" t="s">
        <v>50</v>
      </c>
      <c r="E33" s="12" t="s">
        <v>51</v>
      </c>
      <c r="F33" s="13" t="s">
        <v>48</v>
      </c>
      <c r="G33" s="13" t="s">
        <v>49</v>
      </c>
      <c r="H33" s="13" t="s">
        <v>50</v>
      </c>
      <c r="I33" s="13" t="s">
        <v>51</v>
      </c>
      <c r="J33" s="12" t="s">
        <v>48</v>
      </c>
      <c r="K33" s="12" t="s">
        <v>49</v>
      </c>
      <c r="L33" s="12" t="s">
        <v>50</v>
      </c>
      <c r="M33" s="12" t="s">
        <v>51</v>
      </c>
      <c r="N33" s="13" t="s">
        <v>48</v>
      </c>
      <c r="O33" s="13" t="s">
        <v>49</v>
      </c>
      <c r="P33" s="13" t="s">
        <v>52</v>
      </c>
      <c r="Q33" s="13" t="s">
        <v>51</v>
      </c>
    </row>
    <row r="34" spans="1:22" ht="19">
      <c r="A34" s="11" t="s">
        <v>4</v>
      </c>
      <c r="B34" s="15">
        <v>0.3</v>
      </c>
      <c r="C34" s="15" t="s">
        <v>56</v>
      </c>
      <c r="D34" s="15">
        <v>0.5</v>
      </c>
      <c r="E34" s="16"/>
      <c r="F34" s="17">
        <v>0.3</v>
      </c>
      <c r="G34" s="17" t="s">
        <v>56</v>
      </c>
      <c r="H34" s="17">
        <v>0.3</v>
      </c>
      <c r="I34" s="17"/>
      <c r="J34" s="16">
        <v>1.5</v>
      </c>
      <c r="K34" s="16" t="s">
        <v>58</v>
      </c>
      <c r="L34" s="16">
        <v>2</v>
      </c>
      <c r="M34" s="16"/>
      <c r="N34" s="17">
        <v>2</v>
      </c>
      <c r="O34" s="17" t="s">
        <v>58</v>
      </c>
      <c r="P34" s="17">
        <v>3</v>
      </c>
      <c r="Q34" s="17"/>
      <c r="S34" s="22"/>
      <c r="V34" s="22"/>
    </row>
    <row r="35" spans="1:22" ht="19">
      <c r="A35" s="11" t="s">
        <v>6</v>
      </c>
      <c r="B35" s="15">
        <v>0.1</v>
      </c>
      <c r="C35" s="15" t="s">
        <v>56</v>
      </c>
      <c r="D35" s="15">
        <v>0.1</v>
      </c>
      <c r="E35" s="16"/>
      <c r="F35" s="17">
        <v>0.1</v>
      </c>
      <c r="G35" s="17" t="s">
        <v>56</v>
      </c>
      <c r="H35" s="17">
        <v>0.1</v>
      </c>
      <c r="I35" s="17"/>
      <c r="J35" s="16">
        <v>1.5</v>
      </c>
      <c r="K35" s="16" t="s">
        <v>55</v>
      </c>
      <c r="L35" s="16">
        <v>2</v>
      </c>
      <c r="M35" s="16"/>
      <c r="N35" s="17">
        <v>1.5</v>
      </c>
      <c r="O35" s="17" t="s">
        <v>55</v>
      </c>
      <c r="P35" s="17">
        <v>3</v>
      </c>
      <c r="Q35" s="17"/>
      <c r="S35" s="22"/>
      <c r="V35" s="22"/>
    </row>
    <row r="36" spans="1:22" ht="19">
      <c r="A36" s="11" t="s">
        <v>7</v>
      </c>
      <c r="B36" s="15">
        <v>0.1</v>
      </c>
      <c r="C36" s="18" t="s">
        <v>54</v>
      </c>
      <c r="D36" s="15">
        <v>0.3</v>
      </c>
      <c r="E36" s="16"/>
      <c r="F36" s="17">
        <v>0.3</v>
      </c>
      <c r="G36" s="17" t="s">
        <v>56</v>
      </c>
      <c r="H36" s="17">
        <v>0.5</v>
      </c>
      <c r="I36" s="17"/>
      <c r="J36" s="16">
        <v>2</v>
      </c>
      <c r="K36" s="16" t="s">
        <v>73</v>
      </c>
      <c r="L36" s="16">
        <v>2</v>
      </c>
      <c r="M36" s="16"/>
      <c r="N36" s="17">
        <v>3</v>
      </c>
      <c r="O36" s="17" t="s">
        <v>74</v>
      </c>
      <c r="P36" s="17">
        <v>3</v>
      </c>
      <c r="Q36" s="17"/>
      <c r="S36" s="22"/>
      <c r="V36" s="22"/>
    </row>
    <row r="37" spans="1:22" ht="19">
      <c r="A37" s="11" t="s">
        <v>8</v>
      </c>
      <c r="B37" s="15">
        <v>0.3</v>
      </c>
      <c r="C37" s="19" t="s">
        <v>56</v>
      </c>
      <c r="D37" s="15">
        <v>0.5</v>
      </c>
      <c r="E37" s="16"/>
      <c r="F37" s="17">
        <v>0.3</v>
      </c>
      <c r="G37" s="17" t="s">
        <v>56</v>
      </c>
      <c r="H37" s="17">
        <v>0.5</v>
      </c>
      <c r="I37" s="17"/>
      <c r="J37" s="16">
        <v>1.5</v>
      </c>
      <c r="K37" s="16" t="s">
        <v>56</v>
      </c>
      <c r="L37" s="16">
        <v>2</v>
      </c>
      <c r="M37" s="16"/>
      <c r="N37" s="17">
        <v>1.5</v>
      </c>
      <c r="O37" s="17" t="s">
        <v>56</v>
      </c>
      <c r="P37" s="17">
        <v>2</v>
      </c>
      <c r="Q37" s="20"/>
      <c r="S37" s="22"/>
      <c r="V37" s="22"/>
    </row>
    <row r="38" spans="1:22" ht="19">
      <c r="A38" s="11" t="s">
        <v>9</v>
      </c>
      <c r="B38" s="15">
        <v>0.3</v>
      </c>
      <c r="C38" s="15" t="s">
        <v>56</v>
      </c>
      <c r="D38" s="15">
        <v>0.3</v>
      </c>
      <c r="E38" s="16"/>
      <c r="F38" s="17"/>
      <c r="G38" s="17"/>
      <c r="H38" s="17"/>
      <c r="I38" s="17"/>
      <c r="J38" s="16">
        <v>2</v>
      </c>
      <c r="K38" s="16" t="s">
        <v>75</v>
      </c>
      <c r="L38" s="16">
        <v>2</v>
      </c>
      <c r="M38" s="16"/>
      <c r="N38" s="17">
        <v>2</v>
      </c>
      <c r="O38" s="17" t="s">
        <v>76</v>
      </c>
      <c r="P38" s="17">
        <v>3</v>
      </c>
      <c r="Q38" s="17"/>
      <c r="S38" s="22"/>
      <c r="V38" s="23"/>
    </row>
    <row r="39" spans="1:22" ht="19">
      <c r="A39" s="11" t="s">
        <v>10</v>
      </c>
      <c r="B39" s="15">
        <v>0.3</v>
      </c>
      <c r="C39" s="15" t="s">
        <v>56</v>
      </c>
      <c r="D39" s="15">
        <v>0.3</v>
      </c>
      <c r="E39" s="16"/>
      <c r="F39" s="17">
        <v>0.3</v>
      </c>
      <c r="G39" s="17" t="s">
        <v>56</v>
      </c>
      <c r="H39" s="17">
        <v>0.5</v>
      </c>
      <c r="I39" s="17"/>
      <c r="J39" s="16">
        <v>2</v>
      </c>
      <c r="K39" s="16" t="s">
        <v>56</v>
      </c>
      <c r="L39" s="16">
        <v>2</v>
      </c>
      <c r="M39" s="16"/>
      <c r="N39" s="17">
        <v>2</v>
      </c>
      <c r="O39" s="17" t="s">
        <v>56</v>
      </c>
      <c r="P39" s="17">
        <v>3</v>
      </c>
      <c r="Q39" s="17"/>
      <c r="S39" s="22"/>
      <c r="V39" s="22"/>
    </row>
    <row r="40" spans="1:22" ht="19">
      <c r="A40" s="11" t="s">
        <v>11</v>
      </c>
      <c r="B40" s="15">
        <v>0.5</v>
      </c>
      <c r="C40" s="15" t="s">
        <v>56</v>
      </c>
      <c r="D40" s="15">
        <v>0.5</v>
      </c>
      <c r="E40" s="16"/>
      <c r="F40" s="17">
        <v>0.3</v>
      </c>
      <c r="G40" s="17" t="s">
        <v>56</v>
      </c>
      <c r="H40" s="17">
        <v>0.3</v>
      </c>
      <c r="I40" s="17"/>
      <c r="J40" s="16" t="s">
        <v>59</v>
      </c>
      <c r="K40" s="16" t="s">
        <v>59</v>
      </c>
      <c r="L40" s="16">
        <v>2</v>
      </c>
      <c r="M40" s="16"/>
      <c r="N40" s="17">
        <v>3</v>
      </c>
      <c r="O40" s="17" t="s">
        <v>56</v>
      </c>
      <c r="P40" s="17">
        <v>3</v>
      </c>
      <c r="Q40" s="17"/>
      <c r="S40" s="22"/>
      <c r="V40" s="22"/>
    </row>
    <row r="41" spans="1:22" ht="19">
      <c r="A41" s="11" t="s">
        <v>13</v>
      </c>
      <c r="B41" s="15">
        <v>0.3</v>
      </c>
      <c r="C41" s="15" t="s">
        <v>54</v>
      </c>
      <c r="D41" s="15">
        <v>0.3</v>
      </c>
      <c r="E41" s="16"/>
      <c r="F41" s="17">
        <v>0.3</v>
      </c>
      <c r="G41" s="17" t="s">
        <v>54</v>
      </c>
      <c r="H41" s="17">
        <v>0.3</v>
      </c>
      <c r="I41" s="17"/>
      <c r="J41" s="16" t="s">
        <v>59</v>
      </c>
      <c r="K41" s="16" t="s">
        <v>59</v>
      </c>
      <c r="L41" s="16">
        <v>2</v>
      </c>
      <c r="M41" s="16"/>
      <c r="N41" s="17" t="s">
        <v>59</v>
      </c>
      <c r="O41" s="17" t="s">
        <v>59</v>
      </c>
      <c r="P41" s="17">
        <v>3</v>
      </c>
      <c r="Q41" s="17"/>
      <c r="S41" s="22"/>
      <c r="V41" s="22"/>
    </row>
    <row r="42" spans="1:22" ht="19">
      <c r="A42" s="11" t="s">
        <v>14</v>
      </c>
      <c r="B42" s="15">
        <v>0.3</v>
      </c>
      <c r="C42" s="15" t="s">
        <v>56</v>
      </c>
      <c r="D42" s="15">
        <v>0.5</v>
      </c>
      <c r="E42" s="16">
        <v>5.7</v>
      </c>
      <c r="F42" s="17">
        <v>0.3</v>
      </c>
      <c r="G42" s="17" t="s">
        <v>56</v>
      </c>
      <c r="H42" s="17">
        <v>6</v>
      </c>
      <c r="I42" s="17"/>
      <c r="J42" s="16" t="s">
        <v>59</v>
      </c>
      <c r="K42" s="16" t="s">
        <v>59</v>
      </c>
      <c r="L42" s="16"/>
      <c r="M42" s="16">
        <v>1.5</v>
      </c>
      <c r="N42" s="17">
        <v>2</v>
      </c>
      <c r="O42" s="17" t="s">
        <v>59</v>
      </c>
      <c r="P42" s="17">
        <v>3</v>
      </c>
      <c r="Q42" s="17">
        <v>1.4</v>
      </c>
      <c r="S42" s="22"/>
      <c r="V42" s="22"/>
    </row>
    <row r="43" spans="1:22" ht="19">
      <c r="A43" s="11" t="s">
        <v>15</v>
      </c>
      <c r="B43" s="15">
        <v>0.1</v>
      </c>
      <c r="C43" s="15" t="s">
        <v>71</v>
      </c>
      <c r="D43" s="15">
        <v>0.3</v>
      </c>
      <c r="E43" s="16"/>
      <c r="F43" s="17">
        <v>0.5</v>
      </c>
      <c r="G43" s="17" t="s">
        <v>54</v>
      </c>
      <c r="H43" s="17">
        <v>0.7</v>
      </c>
      <c r="I43" s="17"/>
      <c r="J43" s="16">
        <v>2</v>
      </c>
      <c r="K43" s="16" t="s">
        <v>59</v>
      </c>
      <c r="L43" s="16">
        <v>2</v>
      </c>
      <c r="M43" s="16"/>
      <c r="N43" s="17">
        <v>2</v>
      </c>
      <c r="O43" s="17" t="s">
        <v>59</v>
      </c>
      <c r="P43" s="17">
        <v>2</v>
      </c>
      <c r="Q43" s="17"/>
      <c r="S43" s="22"/>
      <c r="V43" s="22"/>
    </row>
    <row r="44" spans="1:22" ht="19">
      <c r="A44" s="11" t="s">
        <v>16</v>
      </c>
      <c r="B44" s="15">
        <v>0.1</v>
      </c>
      <c r="C44" s="15" t="s">
        <v>56</v>
      </c>
      <c r="D44" s="15">
        <v>0.3</v>
      </c>
      <c r="E44" s="16"/>
      <c r="F44" s="17">
        <v>0.3</v>
      </c>
      <c r="G44" s="17" t="s">
        <v>56</v>
      </c>
      <c r="H44" s="17">
        <v>0.5</v>
      </c>
      <c r="I44" s="17"/>
      <c r="J44" s="16" t="s">
        <v>59</v>
      </c>
      <c r="K44" s="16" t="s">
        <v>59</v>
      </c>
      <c r="L44" s="16">
        <v>2</v>
      </c>
      <c r="M44" s="16"/>
      <c r="N44" s="17" t="s">
        <v>59</v>
      </c>
      <c r="O44" s="17" t="s">
        <v>59</v>
      </c>
      <c r="P44" s="17">
        <v>3</v>
      </c>
      <c r="Q44" s="17"/>
      <c r="S44" s="22"/>
      <c r="V44" s="22"/>
    </row>
    <row r="45" spans="1:22" ht="19">
      <c r="A45" s="11" t="s">
        <v>17</v>
      </c>
      <c r="B45" s="15">
        <v>0.3</v>
      </c>
      <c r="C45" s="15" t="s">
        <v>56</v>
      </c>
      <c r="D45" s="15">
        <v>0.5</v>
      </c>
      <c r="E45" s="16"/>
      <c r="F45" s="17">
        <v>0.3</v>
      </c>
      <c r="G45" s="17" t="s">
        <v>77</v>
      </c>
      <c r="H45" s="17">
        <v>0.5</v>
      </c>
      <c r="I45" s="17"/>
      <c r="J45" s="16">
        <v>2</v>
      </c>
      <c r="K45" s="16" t="s">
        <v>59</v>
      </c>
      <c r="L45" s="16">
        <v>2</v>
      </c>
      <c r="M45" s="16"/>
      <c r="N45" s="17">
        <v>2</v>
      </c>
      <c r="O45" s="17" t="s">
        <v>59</v>
      </c>
      <c r="P45" s="17">
        <v>2</v>
      </c>
      <c r="Q45" s="17"/>
      <c r="S45" s="22"/>
      <c r="V45" s="22"/>
    </row>
    <row r="46" spans="1:22" ht="19">
      <c r="A46" s="11" t="s">
        <v>18</v>
      </c>
      <c r="B46" s="15">
        <v>0.7</v>
      </c>
      <c r="C46" s="15" t="s">
        <v>78</v>
      </c>
      <c r="D46" s="15">
        <v>0.9</v>
      </c>
      <c r="E46" s="16"/>
      <c r="F46" s="17">
        <v>0.9</v>
      </c>
      <c r="G46" s="17" t="s">
        <v>79</v>
      </c>
      <c r="H46" s="17">
        <v>0.9</v>
      </c>
      <c r="I46" s="17"/>
      <c r="J46" s="16">
        <v>2</v>
      </c>
      <c r="K46" s="16" t="s">
        <v>80</v>
      </c>
      <c r="L46" s="16">
        <v>2</v>
      </c>
      <c r="M46" s="16"/>
      <c r="N46" s="17">
        <v>2</v>
      </c>
      <c r="O46" s="16" t="s">
        <v>80</v>
      </c>
      <c r="P46" s="17">
        <v>2</v>
      </c>
      <c r="Q46" s="17"/>
      <c r="S46" s="22"/>
      <c r="V46" s="22"/>
    </row>
    <row r="47" spans="1:22" ht="19">
      <c r="A47" s="11" t="s">
        <v>19</v>
      </c>
      <c r="B47" s="15">
        <v>0.1</v>
      </c>
      <c r="C47" s="15" t="s">
        <v>54</v>
      </c>
      <c r="D47" s="15">
        <v>0.3</v>
      </c>
      <c r="E47" s="16"/>
      <c r="F47" s="17">
        <v>0.5</v>
      </c>
      <c r="G47" s="17" t="s">
        <v>81</v>
      </c>
      <c r="H47" s="17">
        <v>0.7</v>
      </c>
      <c r="I47" s="17"/>
      <c r="J47" s="16">
        <v>1</v>
      </c>
      <c r="K47" s="16" t="s">
        <v>66</v>
      </c>
      <c r="L47" s="16">
        <v>3</v>
      </c>
      <c r="M47" s="16"/>
      <c r="N47" s="17">
        <v>1</v>
      </c>
      <c r="O47" s="16" t="s">
        <v>66</v>
      </c>
      <c r="P47" s="17">
        <v>3</v>
      </c>
      <c r="Q47" s="17"/>
      <c r="S47" s="22"/>
      <c r="V47" s="22"/>
    </row>
    <row r="48" spans="1:22" ht="19">
      <c r="A48" s="11" t="s">
        <v>29</v>
      </c>
      <c r="B48" s="15">
        <v>0.1</v>
      </c>
      <c r="C48" s="15" t="s">
        <v>54</v>
      </c>
      <c r="D48" s="15">
        <v>0.1</v>
      </c>
      <c r="E48" s="16"/>
      <c r="F48" s="17">
        <v>0.3</v>
      </c>
      <c r="G48" s="17" t="s">
        <v>71</v>
      </c>
      <c r="H48" s="17">
        <v>0.3</v>
      </c>
      <c r="I48" s="17"/>
      <c r="J48" s="16">
        <v>1.5</v>
      </c>
      <c r="K48" s="16" t="s">
        <v>54</v>
      </c>
      <c r="L48" s="16">
        <v>1.5</v>
      </c>
      <c r="M48" s="16"/>
      <c r="N48" s="17">
        <v>2.5</v>
      </c>
      <c r="O48" s="17" t="s">
        <v>54</v>
      </c>
      <c r="P48" s="17">
        <v>3</v>
      </c>
      <c r="Q48" s="17"/>
      <c r="S48" s="22"/>
      <c r="V48" s="22"/>
    </row>
    <row r="49" spans="1:22" ht="19">
      <c r="A49" s="11" t="s">
        <v>20</v>
      </c>
      <c r="B49" s="15">
        <v>0.3</v>
      </c>
      <c r="C49" s="15" t="s">
        <v>82</v>
      </c>
      <c r="D49" s="15">
        <v>0.5</v>
      </c>
      <c r="E49" s="16"/>
      <c r="F49" s="17">
        <v>0.7</v>
      </c>
      <c r="G49" s="17" t="s">
        <v>83</v>
      </c>
      <c r="H49" s="17">
        <v>0.9</v>
      </c>
      <c r="I49" s="17"/>
      <c r="J49" s="16">
        <v>2</v>
      </c>
      <c r="K49" s="16" t="s">
        <v>56</v>
      </c>
      <c r="L49" s="16">
        <v>2</v>
      </c>
      <c r="M49" s="16"/>
      <c r="N49" s="17">
        <v>2</v>
      </c>
      <c r="O49" s="17" t="s">
        <v>56</v>
      </c>
      <c r="P49" s="17">
        <v>2</v>
      </c>
      <c r="Q49" s="17"/>
      <c r="S49" s="22"/>
      <c r="V49" s="22"/>
    </row>
    <row r="50" spans="1:22" ht="19">
      <c r="A50" s="11" t="s">
        <v>30</v>
      </c>
      <c r="B50" s="15">
        <v>0.5</v>
      </c>
      <c r="C50" s="15" t="s">
        <v>84</v>
      </c>
      <c r="D50" s="15">
        <v>0.7</v>
      </c>
      <c r="E50" s="16"/>
      <c r="F50" s="17">
        <v>0.5</v>
      </c>
      <c r="G50" s="15" t="s">
        <v>84</v>
      </c>
      <c r="H50" s="17">
        <v>0.7</v>
      </c>
      <c r="I50" s="17"/>
      <c r="J50" s="16">
        <v>1</v>
      </c>
      <c r="K50" s="16" t="s">
        <v>85</v>
      </c>
      <c r="L50" s="16">
        <v>3</v>
      </c>
      <c r="M50" s="16"/>
      <c r="N50" s="17">
        <v>1</v>
      </c>
      <c r="O50" s="17" t="s">
        <v>85</v>
      </c>
      <c r="P50" s="17">
        <v>3</v>
      </c>
      <c r="Q50" s="17"/>
      <c r="S50" s="22"/>
      <c r="V50" s="22"/>
    </row>
    <row r="51" spans="1:22" ht="19">
      <c r="A51" s="11" t="s">
        <v>21</v>
      </c>
      <c r="B51" s="16">
        <v>0.1</v>
      </c>
      <c r="C51" s="16" t="s">
        <v>56</v>
      </c>
      <c r="D51" s="16">
        <v>0.3</v>
      </c>
      <c r="E51" s="16"/>
      <c r="F51" s="17">
        <v>0.1</v>
      </c>
      <c r="G51" s="17" t="s">
        <v>56</v>
      </c>
      <c r="H51" s="17">
        <v>0.3</v>
      </c>
      <c r="I51" s="17"/>
      <c r="J51" s="16" t="s">
        <v>59</v>
      </c>
      <c r="K51" s="16" t="s">
        <v>59</v>
      </c>
      <c r="L51" s="16">
        <v>2</v>
      </c>
      <c r="M51" s="16">
        <v>1.5</v>
      </c>
      <c r="N51" s="17" t="s">
        <v>59</v>
      </c>
      <c r="O51" s="17" t="s">
        <v>59</v>
      </c>
      <c r="P51" s="17">
        <v>3</v>
      </c>
      <c r="Q51" s="17">
        <v>1.2</v>
      </c>
      <c r="S51" s="22"/>
      <c r="V51" s="22"/>
    </row>
    <row r="52" spans="1:22" ht="19">
      <c r="A52" s="11" t="s">
        <v>22</v>
      </c>
      <c r="B52" s="15">
        <v>0.3</v>
      </c>
      <c r="C52" s="15" t="s">
        <v>86</v>
      </c>
      <c r="D52" s="15">
        <v>0.5</v>
      </c>
      <c r="E52" s="16"/>
      <c r="F52" s="17">
        <v>0.5</v>
      </c>
      <c r="G52" s="17" t="s">
        <v>87</v>
      </c>
      <c r="H52" s="17">
        <v>0.7</v>
      </c>
      <c r="I52" s="17"/>
      <c r="J52" s="16">
        <v>1</v>
      </c>
      <c r="K52" s="16" t="s">
        <v>88</v>
      </c>
      <c r="L52" s="16">
        <v>3</v>
      </c>
      <c r="M52" s="16"/>
      <c r="N52" s="17">
        <v>1</v>
      </c>
      <c r="O52" s="17" t="s">
        <v>88</v>
      </c>
      <c r="P52" s="17">
        <v>3</v>
      </c>
      <c r="Q52" s="17"/>
      <c r="S52" s="22"/>
      <c r="V52" s="22"/>
    </row>
    <row r="53" spans="1:22" ht="19">
      <c r="A53" s="11" t="s">
        <v>23</v>
      </c>
      <c r="B53" s="16">
        <v>0.1</v>
      </c>
      <c r="C53" s="16" t="s">
        <v>56</v>
      </c>
      <c r="D53" s="16">
        <v>0.1</v>
      </c>
      <c r="E53" s="16"/>
      <c r="F53" s="17">
        <v>0.1</v>
      </c>
      <c r="G53" s="17" t="s">
        <v>56</v>
      </c>
      <c r="H53" s="17">
        <v>0.3</v>
      </c>
      <c r="I53" s="17"/>
      <c r="J53" s="16">
        <v>1.5</v>
      </c>
      <c r="K53" s="16" t="s">
        <v>89</v>
      </c>
      <c r="L53" s="16">
        <v>1.5</v>
      </c>
      <c r="M53" s="16"/>
      <c r="N53" s="17">
        <v>1.5</v>
      </c>
      <c r="O53" s="17" t="s">
        <v>89</v>
      </c>
      <c r="P53" s="17">
        <v>3</v>
      </c>
      <c r="Q53" s="17"/>
      <c r="S53" s="22"/>
      <c r="V53" s="22"/>
    </row>
    <row r="54" spans="1:22" ht="19">
      <c r="A54" s="11" t="s">
        <v>24</v>
      </c>
      <c r="B54" s="15">
        <v>0.1</v>
      </c>
      <c r="C54" s="15" t="s">
        <v>54</v>
      </c>
      <c r="D54" s="15">
        <v>0.3</v>
      </c>
      <c r="E54" s="16"/>
      <c r="F54" s="17">
        <v>0.5</v>
      </c>
      <c r="G54" s="17" t="s">
        <v>54</v>
      </c>
      <c r="H54" s="17">
        <v>0.7</v>
      </c>
      <c r="I54" s="17"/>
      <c r="J54" s="16">
        <v>1.5</v>
      </c>
      <c r="K54" s="16" t="s">
        <v>90</v>
      </c>
      <c r="L54" s="16">
        <v>2.5</v>
      </c>
      <c r="M54" s="16"/>
      <c r="N54" s="17">
        <v>1.5</v>
      </c>
      <c r="O54" s="17" t="s">
        <v>90</v>
      </c>
      <c r="P54" s="17">
        <v>2.5</v>
      </c>
      <c r="Q54" s="17"/>
      <c r="S54" s="22"/>
      <c r="V54" s="22"/>
    </row>
  </sheetData>
  <mergeCells count="12">
    <mergeCell ref="B3:I3"/>
    <mergeCell ref="J3:Q3"/>
    <mergeCell ref="B4:E4"/>
    <mergeCell ref="F4:G4"/>
    <mergeCell ref="J4:M4"/>
    <mergeCell ref="N4:O4"/>
    <mergeCell ref="B31:I31"/>
    <mergeCell ref="J31:Q31"/>
    <mergeCell ref="B32:E32"/>
    <mergeCell ref="F32:G32"/>
    <mergeCell ref="J32:M32"/>
    <mergeCell ref="N32:O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</vt:lpstr>
      <vt:lpstr>Head_size</vt:lpstr>
      <vt:lpstr>Sensation_thresholds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Violante</dc:creator>
  <cp:lastModifiedBy>Ines Violante</cp:lastModifiedBy>
  <dcterms:created xsi:type="dcterms:W3CDTF">2023-09-03T10:08:14Z</dcterms:created>
  <dcterms:modified xsi:type="dcterms:W3CDTF">2023-09-03T19:22:46Z</dcterms:modified>
</cp:coreProperties>
</file>