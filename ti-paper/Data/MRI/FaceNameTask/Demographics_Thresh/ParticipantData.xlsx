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esviolante/Dropbox (Personal)/TI_paper/ti-paper/Data/MRI/FaceNameTask/Demographics_Thresh/"/>
    </mc:Choice>
  </mc:AlternateContent>
  <xr:revisionPtr revIDLastSave="0" documentId="13_ncr:1_{A6D99639-55C6-4240-8123-641B60D8A88E}" xr6:coauthVersionLast="47" xr6:coauthVersionMax="47" xr10:uidLastSave="{00000000-0000-0000-0000-000000000000}"/>
  <bookViews>
    <workbookView xWindow="0" yWindow="500" windowWidth="22120" windowHeight="16340" activeTab="2" xr2:uid="{E8D474B1-67D1-C04F-97C5-76886061521A}"/>
  </bookViews>
  <sheets>
    <sheet name="Demographic" sheetId="1" r:id="rId1"/>
    <sheet name="Head_size" sheetId="4" r:id="rId2"/>
    <sheet name="Sensation_threshold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4" i="1" l="1"/>
  <c r="C25" i="1"/>
  <c r="F30" i="5"/>
  <c r="F29" i="5"/>
  <c r="F28" i="5"/>
  <c r="F27" i="5"/>
  <c r="B30" i="5"/>
  <c r="B29" i="5"/>
  <c r="B28" i="5"/>
  <c r="B27" i="5"/>
  <c r="E25" i="1"/>
  <c r="E24" i="1"/>
  <c r="C15" i="4" l="1"/>
  <c r="D15" i="4" s="1"/>
  <c r="C24" i="4"/>
  <c r="G24" i="4" s="1"/>
  <c r="C23" i="4"/>
  <c r="F23" i="4" s="1"/>
  <c r="C22" i="4"/>
  <c r="E22" i="4" s="1"/>
  <c r="C21" i="4"/>
  <c r="F21" i="4" s="1"/>
  <c r="C20" i="4"/>
  <c r="G20" i="4" s="1"/>
  <c r="C19" i="4"/>
  <c r="C18" i="4"/>
  <c r="G18" i="4" s="1"/>
  <c r="C17" i="4"/>
  <c r="G17" i="4" s="1"/>
  <c r="C16" i="4"/>
  <c r="G16" i="4" s="1"/>
  <c r="C14" i="4"/>
  <c r="E14" i="4" s="1"/>
  <c r="C13" i="4"/>
  <c r="E13" i="4" s="1"/>
  <c r="C12" i="4"/>
  <c r="E12" i="4" s="1"/>
  <c r="C11" i="4"/>
  <c r="G11" i="4" s="1"/>
  <c r="C10" i="4"/>
  <c r="F10" i="4" s="1"/>
  <c r="C9" i="4"/>
  <c r="G9" i="4" s="1"/>
  <c r="C8" i="4"/>
  <c r="F8" i="4" s="1"/>
  <c r="C7" i="4"/>
  <c r="G7" i="4" s="1"/>
  <c r="C6" i="4"/>
  <c r="D6" i="4" s="1"/>
  <c r="C5" i="4"/>
  <c r="G5" i="4" s="1"/>
  <c r="C4" i="4"/>
  <c r="E4" i="4" s="1"/>
  <c r="C3" i="4"/>
  <c r="G3" i="4" s="1"/>
  <c r="G15" i="4" l="1"/>
  <c r="D11" i="4"/>
  <c r="F15" i="4"/>
  <c r="E11" i="4"/>
  <c r="F11" i="4"/>
  <c r="E15" i="4"/>
  <c r="G6" i="4"/>
  <c r="G13" i="4"/>
  <c r="F22" i="4"/>
  <c r="G22" i="4"/>
  <c r="D20" i="4"/>
  <c r="E20" i="4"/>
  <c r="F20" i="4"/>
  <c r="F13" i="4"/>
  <c r="G8" i="4"/>
  <c r="E6" i="4"/>
  <c r="F6" i="4"/>
  <c r="D4" i="4"/>
  <c r="F9" i="4"/>
  <c r="D12" i="4"/>
  <c r="F14" i="4"/>
  <c r="F7" i="4"/>
  <c r="G14" i="4"/>
  <c r="D3" i="4"/>
  <c r="G12" i="4"/>
  <c r="G21" i="4"/>
  <c r="D24" i="4"/>
  <c r="D17" i="4"/>
  <c r="D9" i="4"/>
  <c r="E17" i="4"/>
  <c r="F4" i="4"/>
  <c r="E9" i="4"/>
  <c r="F17" i="4"/>
  <c r="G23" i="4"/>
  <c r="E3" i="4"/>
  <c r="E24" i="4"/>
  <c r="D14" i="4"/>
  <c r="G4" i="4"/>
  <c r="D21" i="4"/>
  <c r="E21" i="4"/>
  <c r="E5" i="4"/>
  <c r="D10" i="4"/>
  <c r="F12" i="4"/>
  <c r="E18" i="4"/>
  <c r="F18" i="4"/>
  <c r="D8" i="4"/>
  <c r="F3" i="4"/>
  <c r="E8" i="4"/>
  <c r="G10" i="4"/>
  <c r="D13" i="4"/>
  <c r="F16" i="4"/>
  <c r="D22" i="4"/>
  <c r="F24" i="4"/>
  <c r="D23" i="4"/>
  <c r="D7" i="4"/>
  <c r="E23" i="4"/>
  <c r="E7" i="4"/>
  <c r="D5" i="4"/>
  <c r="D18" i="4"/>
  <c r="F5" i="4"/>
  <c r="E10" i="4"/>
  <c r="D16" i="4"/>
  <c r="E16" i="4"/>
</calcChain>
</file>

<file path=xl/sharedStrings.xml><?xml version="1.0" encoding="utf-8"?>
<sst xmlns="http://schemas.openxmlformats.org/spreadsheetml/2006/main" count="340" uniqueCount="87">
  <si>
    <t>TIDES_P2T_S1</t>
  </si>
  <si>
    <t>TIDES_P2T_S2</t>
  </si>
  <si>
    <t>TIDES_P2T_S3</t>
  </si>
  <si>
    <t>TIDES_P2T_S4</t>
  </si>
  <si>
    <t>TIDES_P2T_S5</t>
  </si>
  <si>
    <t>TIDES_P2T_S6</t>
  </si>
  <si>
    <t>TIDES_P2T_S7</t>
  </si>
  <si>
    <t>TIDES_P2T_S8</t>
  </si>
  <si>
    <t>TIDES_P2T_S9</t>
  </si>
  <si>
    <t>Subject Number</t>
  </si>
  <si>
    <t>Gender</t>
  </si>
  <si>
    <t>Age</t>
  </si>
  <si>
    <t xml:space="preserve">Handedness </t>
  </si>
  <si>
    <t>Daily Cofee Intake</t>
  </si>
  <si>
    <t>TIDES_P2T_S10</t>
  </si>
  <si>
    <t>TIDES_P2T_S11</t>
  </si>
  <si>
    <t>TIDES_P2T_S12</t>
  </si>
  <si>
    <t>TIDES_P2T_S13</t>
  </si>
  <si>
    <t>TIDES_P2T_S14</t>
  </si>
  <si>
    <t>TIDES_P2T_S15</t>
  </si>
  <si>
    <t>TIDES_P2T_S16</t>
  </si>
  <si>
    <t>TIDES_P2T_S17</t>
  </si>
  <si>
    <t>TIDES_P2T_S18</t>
  </si>
  <si>
    <t>M</t>
  </si>
  <si>
    <t>RH</t>
  </si>
  <si>
    <t>F</t>
  </si>
  <si>
    <t>Language Knowledge</t>
  </si>
  <si>
    <t xml:space="preserve">native </t>
  </si>
  <si>
    <t xml:space="preserve">Native </t>
  </si>
  <si>
    <t xml:space="preserve">Proficient </t>
  </si>
  <si>
    <t>1--2</t>
  </si>
  <si>
    <t>TIDES_P2T_S19</t>
  </si>
  <si>
    <t>TIDES_P2T_S20</t>
  </si>
  <si>
    <t>TIDES_P2T_S21</t>
  </si>
  <si>
    <t>TIDES_P2T_S22</t>
  </si>
  <si>
    <t>LF</t>
  </si>
  <si>
    <t>na</t>
  </si>
  <si>
    <t>Left Hemisphere</t>
  </si>
  <si>
    <t>Right Hemisphere</t>
  </si>
  <si>
    <t>Subject</t>
  </si>
  <si>
    <t>circumference</t>
  </si>
  <si>
    <t>Half Circumference</t>
  </si>
  <si>
    <t>E1 (left ear anterior)</t>
  </si>
  <si>
    <t>E3 (left ear posterior)</t>
  </si>
  <si>
    <t>E2 (right anterior)</t>
  </si>
  <si>
    <t>E4 (right posterior)</t>
  </si>
  <si>
    <r>
      <rPr>
        <sz val="12"/>
        <color rgb="FFFF0000"/>
        <rFont val="Calibri (Body)_x0000_"/>
      </rPr>
      <t>Intructions</t>
    </r>
    <r>
      <rPr>
        <sz val="12"/>
        <color theme="1"/>
        <rFont val="Calibri"/>
        <family val="2"/>
        <scheme val="minor"/>
      </rPr>
      <t>: Insert the subject number and the measurement for half-circumference (in cm). Keeping the tape at 0 in the nasion, mark the points for each electrode in each hemisphere. Note: You need to change the tape from hemisphere to hemisphere to mark the locations</t>
    </r>
  </si>
  <si>
    <t xml:space="preserve"> </t>
  </si>
  <si>
    <t>burning</t>
  </si>
  <si>
    <t>tingling</t>
  </si>
  <si>
    <t>itchy</t>
  </si>
  <si>
    <t>none</t>
  </si>
  <si>
    <t xml:space="preserve">tingling </t>
  </si>
  <si>
    <t xml:space="preserve">pressure (none in the scanner) </t>
  </si>
  <si>
    <t>tingling (none in the scanner)</t>
  </si>
  <si>
    <t>stinging</t>
  </si>
  <si>
    <t xml:space="preserve">tACS (5Hz) </t>
  </si>
  <si>
    <t>CF = 2000Hz, MF = 5z</t>
  </si>
  <si>
    <t>Sybject Info</t>
  </si>
  <si>
    <t xml:space="preserve"> E1 - E2</t>
  </si>
  <si>
    <t>E3-E4</t>
  </si>
  <si>
    <t>Sensation Threshold (mA)</t>
  </si>
  <si>
    <t xml:space="preserve">Sensation </t>
  </si>
  <si>
    <t>Max applied</t>
  </si>
  <si>
    <t xml:space="preserve">Max applied </t>
  </si>
  <si>
    <t>light burning</t>
  </si>
  <si>
    <t>~ 2</t>
  </si>
  <si>
    <t>~33</t>
  </si>
  <si>
    <t>prickling</t>
  </si>
  <si>
    <t>~35</t>
  </si>
  <si>
    <t>~4</t>
  </si>
  <si>
    <t>~2</t>
  </si>
  <si>
    <t>vibration</t>
  </si>
  <si>
    <t>phpsphenes</t>
  </si>
  <si>
    <t>warmth</t>
  </si>
  <si>
    <t>vibrating</t>
  </si>
  <si>
    <t>burning (none in the scanner)</t>
  </si>
  <si>
    <t>mean</t>
  </si>
  <si>
    <t>sd</t>
  </si>
  <si>
    <t xml:space="preserve">min </t>
  </si>
  <si>
    <t>max</t>
  </si>
  <si>
    <t>Impedance</t>
  </si>
  <si>
    <t>Years of Education</t>
  </si>
  <si>
    <t>tingling + warmth</t>
  </si>
  <si>
    <t>Notes</t>
  </si>
  <si>
    <t>excluded analysis - motion</t>
  </si>
  <si>
    <t>technical difficulties with the MRI scanner - no MRI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</si>
</sst>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 (Body)_x0000_"/>
    </font>
    <font>
      <b/>
      <sz val="12"/>
      <color rgb="FFFF0000"/>
      <name val="Calibri"/>
      <family val="2"/>
      <scheme val="minor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1" xfId="0" applyFont="1" applyBorder="1"/>
    <xf numFmtId="0" fontId="3" fillId="0" borderId="2" xfId="0" applyFont="1" applyBorder="1"/>
    <xf numFmtId="0" fontId="0" fillId="5" borderId="0" xfId="0" applyFill="1" applyAlignment="1">
      <alignment horizontal="left" wrapText="1" shrinkToFi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295D-1936-734E-A513-8FAD20786893}">
  <dimension ref="A1:R25"/>
  <sheetViews>
    <sheetView zoomScale="109" zoomScaleNormal="190" workbookViewId="0">
      <selection activeCell="I28" sqref="I28"/>
    </sheetView>
  </sheetViews>
  <sheetFormatPr baseColWidth="10" defaultRowHeight="16"/>
  <cols>
    <col min="1" max="1" width="14.33203125" style="2" bestFit="1" customWidth="1"/>
    <col min="2" max="2" width="19.33203125" style="2" bestFit="1" customWidth="1"/>
    <col min="3" max="3" width="10.83203125" style="2"/>
    <col min="4" max="4" width="14" style="2" bestFit="1" customWidth="1"/>
    <col min="5" max="5" width="16.5" style="2" bestFit="1" customWidth="1"/>
    <col min="6" max="7" width="18.6640625" style="2" bestFit="1" customWidth="1"/>
    <col min="8" max="8" width="46" customWidth="1"/>
    <col min="9" max="9" width="63.5" bestFit="1" customWidth="1"/>
    <col min="10" max="10" width="19.33203125" bestFit="1" customWidth="1"/>
    <col min="18" max="18" width="10.83203125" style="2"/>
  </cols>
  <sheetData>
    <row r="1" spans="1:8">
      <c r="A1" s="2" t="s">
        <v>9</v>
      </c>
      <c r="B1" s="2" t="s">
        <v>10</v>
      </c>
      <c r="C1" s="2" t="s">
        <v>11</v>
      </c>
      <c r="D1" s="2" t="s">
        <v>12</v>
      </c>
      <c r="E1" s="2" t="s">
        <v>82</v>
      </c>
      <c r="F1" s="2" t="s">
        <v>13</v>
      </c>
      <c r="G1" s="2" t="s">
        <v>26</v>
      </c>
      <c r="H1" s="2" t="s">
        <v>84</v>
      </c>
    </row>
    <row r="2" spans="1:8">
      <c r="A2" s="2" t="s">
        <v>0</v>
      </c>
      <c r="B2" s="2" t="s">
        <v>23</v>
      </c>
      <c r="C2" s="2">
        <v>27</v>
      </c>
      <c r="D2" s="2" t="s">
        <v>35</v>
      </c>
      <c r="E2" s="12">
        <v>20</v>
      </c>
      <c r="F2" s="2">
        <v>1</v>
      </c>
      <c r="G2" s="2" t="s">
        <v>29</v>
      </c>
      <c r="H2" s="2"/>
    </row>
    <row r="3" spans="1:8">
      <c r="A3" s="2" t="s">
        <v>1</v>
      </c>
      <c r="B3" s="2" t="s">
        <v>23</v>
      </c>
      <c r="C3" s="2">
        <v>29</v>
      </c>
      <c r="D3" s="2" t="s">
        <v>24</v>
      </c>
      <c r="E3" s="12">
        <v>25</v>
      </c>
      <c r="F3" s="2">
        <v>2</v>
      </c>
      <c r="G3" s="2" t="s">
        <v>29</v>
      </c>
      <c r="H3" s="2"/>
    </row>
    <row r="4" spans="1:8">
      <c r="A4" s="2" t="s">
        <v>2</v>
      </c>
      <c r="B4" s="2" t="s">
        <v>23</v>
      </c>
      <c r="C4" s="2">
        <v>24</v>
      </c>
      <c r="D4" s="2" t="s">
        <v>24</v>
      </c>
      <c r="E4" s="12">
        <v>21</v>
      </c>
      <c r="F4" s="2">
        <v>3</v>
      </c>
      <c r="G4" s="2" t="s">
        <v>29</v>
      </c>
      <c r="H4" s="2"/>
    </row>
    <row r="5" spans="1:8">
      <c r="A5" s="2" t="s">
        <v>3</v>
      </c>
      <c r="B5" s="2" t="s">
        <v>23</v>
      </c>
      <c r="C5" s="2">
        <v>24</v>
      </c>
      <c r="D5" s="2" t="s">
        <v>24</v>
      </c>
      <c r="E5" s="12">
        <v>17</v>
      </c>
      <c r="F5" s="2">
        <v>1</v>
      </c>
      <c r="G5" s="2" t="s">
        <v>29</v>
      </c>
      <c r="H5" s="2"/>
    </row>
    <row r="6" spans="1:8">
      <c r="A6" s="2" t="s">
        <v>4</v>
      </c>
      <c r="B6" s="2" t="s">
        <v>25</v>
      </c>
      <c r="C6" s="2">
        <v>21</v>
      </c>
      <c r="D6" s="2" t="s">
        <v>24</v>
      </c>
      <c r="E6" s="12">
        <v>15</v>
      </c>
      <c r="F6" s="2">
        <v>1</v>
      </c>
      <c r="G6" s="2" t="s">
        <v>29</v>
      </c>
      <c r="H6" s="2" t="s">
        <v>85</v>
      </c>
    </row>
    <row r="7" spans="1:8">
      <c r="A7" s="2" t="s">
        <v>5</v>
      </c>
      <c r="B7" s="2" t="s">
        <v>25</v>
      </c>
      <c r="C7" s="2">
        <v>24</v>
      </c>
      <c r="D7" s="2" t="s">
        <v>24</v>
      </c>
      <c r="E7" s="12">
        <v>19</v>
      </c>
      <c r="F7" s="2">
        <v>0</v>
      </c>
      <c r="G7" s="2" t="s">
        <v>28</v>
      </c>
      <c r="H7" s="2"/>
    </row>
    <row r="8" spans="1:8">
      <c r="A8" s="2" t="s">
        <v>6</v>
      </c>
      <c r="B8" s="2" t="s">
        <v>23</v>
      </c>
      <c r="C8" s="2">
        <v>24</v>
      </c>
      <c r="D8" s="2" t="s">
        <v>24</v>
      </c>
      <c r="E8" s="12">
        <v>16</v>
      </c>
      <c r="F8" s="2">
        <v>1</v>
      </c>
      <c r="G8" s="2" t="s">
        <v>28</v>
      </c>
      <c r="H8" s="2"/>
    </row>
    <row r="9" spans="1:8">
      <c r="A9" s="2" t="s">
        <v>7</v>
      </c>
      <c r="B9" s="2" t="s">
        <v>25</v>
      </c>
      <c r="C9" s="2">
        <v>21</v>
      </c>
      <c r="D9" s="2" t="s">
        <v>24</v>
      </c>
      <c r="E9" s="12">
        <v>16</v>
      </c>
      <c r="F9" s="2">
        <v>2</v>
      </c>
      <c r="G9" s="2" t="s">
        <v>28</v>
      </c>
      <c r="H9" s="2"/>
    </row>
    <row r="10" spans="1:8">
      <c r="A10" s="2" t="s">
        <v>8</v>
      </c>
      <c r="B10" s="2" t="s">
        <v>23</v>
      </c>
      <c r="C10" s="2">
        <v>32</v>
      </c>
      <c r="D10" s="2" t="s">
        <v>24</v>
      </c>
      <c r="E10" s="12">
        <v>18</v>
      </c>
      <c r="F10" s="2">
        <v>2</v>
      </c>
      <c r="G10" s="2" t="s">
        <v>28</v>
      </c>
      <c r="H10" s="2"/>
    </row>
    <row r="11" spans="1:8">
      <c r="A11" s="2" t="s">
        <v>14</v>
      </c>
      <c r="B11" s="2" t="s">
        <v>25</v>
      </c>
      <c r="C11" s="2">
        <v>33</v>
      </c>
      <c r="D11" s="2" t="s">
        <v>24</v>
      </c>
      <c r="E11" s="12">
        <v>22</v>
      </c>
      <c r="F11" s="2">
        <v>2</v>
      </c>
      <c r="G11" s="2" t="s">
        <v>29</v>
      </c>
      <c r="H11" s="2"/>
    </row>
    <row r="12" spans="1:8">
      <c r="A12" s="2" t="s">
        <v>15</v>
      </c>
      <c r="B12" s="2" t="s">
        <v>23</v>
      </c>
      <c r="C12" s="2">
        <v>23</v>
      </c>
      <c r="D12" s="2" t="s">
        <v>24</v>
      </c>
      <c r="E12" s="12">
        <v>17</v>
      </c>
      <c r="F12" s="3" t="s">
        <v>30</v>
      </c>
      <c r="G12" s="2" t="s">
        <v>28</v>
      </c>
      <c r="H12" s="2"/>
    </row>
    <row r="13" spans="1:8">
      <c r="A13" s="2" t="s">
        <v>16</v>
      </c>
      <c r="B13" s="2" t="s">
        <v>25</v>
      </c>
      <c r="C13" s="2">
        <v>33</v>
      </c>
      <c r="D13" s="2" t="s">
        <v>24</v>
      </c>
      <c r="E13" s="12">
        <v>20</v>
      </c>
      <c r="F13" s="2">
        <v>0</v>
      </c>
      <c r="G13" s="2" t="s">
        <v>29</v>
      </c>
      <c r="H13" s="2"/>
    </row>
    <row r="14" spans="1:8">
      <c r="A14" s="2" t="s">
        <v>17</v>
      </c>
      <c r="B14" s="2" t="s">
        <v>25</v>
      </c>
      <c r="C14" s="2">
        <v>20</v>
      </c>
      <c r="D14" s="2" t="s">
        <v>24</v>
      </c>
      <c r="E14" s="12">
        <v>14</v>
      </c>
      <c r="F14" s="2">
        <v>0</v>
      </c>
      <c r="G14" s="2" t="s">
        <v>29</v>
      </c>
      <c r="H14" s="2"/>
    </row>
    <row r="15" spans="1:8">
      <c r="A15" s="2" t="s">
        <v>18</v>
      </c>
      <c r="B15" s="2" t="s">
        <v>25</v>
      </c>
      <c r="C15" s="2">
        <v>29</v>
      </c>
      <c r="D15" s="2" t="s">
        <v>24</v>
      </c>
      <c r="E15" s="12">
        <v>20</v>
      </c>
      <c r="F15" s="2">
        <v>1</v>
      </c>
      <c r="G15" s="2" t="s">
        <v>29</v>
      </c>
      <c r="H15" s="2"/>
    </row>
    <row r="16" spans="1:8">
      <c r="A16" s="2" t="s">
        <v>19</v>
      </c>
      <c r="B16" s="2" t="s">
        <v>25</v>
      </c>
      <c r="C16" s="2">
        <v>22</v>
      </c>
      <c r="D16" s="2" t="s">
        <v>24</v>
      </c>
      <c r="E16" s="12">
        <v>17</v>
      </c>
      <c r="F16" s="3" t="s">
        <v>30</v>
      </c>
      <c r="G16" s="2" t="s">
        <v>28</v>
      </c>
      <c r="H16" s="2"/>
    </row>
    <row r="17" spans="1:18">
      <c r="A17" s="2" t="s">
        <v>20</v>
      </c>
      <c r="B17" s="2" t="s">
        <v>23</v>
      </c>
      <c r="C17" s="2">
        <v>54</v>
      </c>
      <c r="D17" s="2" t="s">
        <v>24</v>
      </c>
      <c r="E17" s="12">
        <v>16</v>
      </c>
      <c r="F17" s="2">
        <v>1</v>
      </c>
      <c r="G17" s="2" t="s">
        <v>28</v>
      </c>
      <c r="H17" s="2"/>
    </row>
    <row r="18" spans="1:18" s="1" customFormat="1">
      <c r="A18" s="23" t="s">
        <v>21</v>
      </c>
      <c r="B18" s="23" t="s">
        <v>25</v>
      </c>
      <c r="C18" s="23">
        <v>55</v>
      </c>
      <c r="D18" s="23" t="s">
        <v>24</v>
      </c>
      <c r="E18" s="24">
        <v>16</v>
      </c>
      <c r="F18" s="23">
        <v>1</v>
      </c>
      <c r="G18" s="23" t="s">
        <v>29</v>
      </c>
      <c r="H18" s="35" t="s">
        <v>86</v>
      </c>
      <c r="R18" s="23"/>
    </row>
    <row r="19" spans="1:18">
      <c r="A19" s="2" t="s">
        <v>22</v>
      </c>
      <c r="B19" s="2" t="s">
        <v>23</v>
      </c>
      <c r="C19" s="2">
        <v>31</v>
      </c>
      <c r="D19" s="2" t="s">
        <v>24</v>
      </c>
      <c r="E19" s="12">
        <v>19</v>
      </c>
      <c r="F19" s="2" t="s">
        <v>30</v>
      </c>
      <c r="G19" s="2" t="s">
        <v>27</v>
      </c>
      <c r="H19" s="2"/>
    </row>
    <row r="20" spans="1:18">
      <c r="A20" s="2" t="s">
        <v>31</v>
      </c>
      <c r="B20" s="2" t="s">
        <v>23</v>
      </c>
      <c r="C20" s="2">
        <v>21</v>
      </c>
      <c r="D20" s="2" t="s">
        <v>24</v>
      </c>
      <c r="E20" s="12">
        <v>15</v>
      </c>
      <c r="F20" s="2">
        <v>1</v>
      </c>
      <c r="G20" s="2" t="s">
        <v>29</v>
      </c>
      <c r="H20" s="2"/>
    </row>
    <row r="21" spans="1:18">
      <c r="A21" s="2" t="s">
        <v>32</v>
      </c>
      <c r="B21" s="2" t="s">
        <v>25</v>
      </c>
      <c r="C21" s="2">
        <v>25</v>
      </c>
      <c r="D21" s="2" t="s">
        <v>24</v>
      </c>
      <c r="E21" s="12">
        <v>20</v>
      </c>
      <c r="F21" s="2">
        <v>1</v>
      </c>
      <c r="G21" s="2" t="s">
        <v>29</v>
      </c>
      <c r="H21" s="2"/>
    </row>
    <row r="22" spans="1:18">
      <c r="A22" s="2" t="s">
        <v>33</v>
      </c>
      <c r="B22" s="2" t="s">
        <v>25</v>
      </c>
      <c r="C22" s="2">
        <v>25</v>
      </c>
      <c r="D22" s="2" t="s">
        <v>24</v>
      </c>
      <c r="E22" s="12">
        <v>19</v>
      </c>
      <c r="F22" s="2">
        <v>2</v>
      </c>
      <c r="G22" s="2" t="s">
        <v>29</v>
      </c>
      <c r="H22" s="2"/>
    </row>
    <row r="23" spans="1:18">
      <c r="A23" s="2" t="s">
        <v>34</v>
      </c>
      <c r="B23" s="2" t="s">
        <v>25</v>
      </c>
      <c r="C23" s="2">
        <v>24</v>
      </c>
      <c r="D23" s="2" t="s">
        <v>24</v>
      </c>
      <c r="E23" s="12">
        <v>18</v>
      </c>
      <c r="F23" s="2">
        <v>0</v>
      </c>
      <c r="G23" s="2" t="s">
        <v>28</v>
      </c>
      <c r="H23" s="2"/>
    </row>
    <row r="24" spans="1:18">
      <c r="A24" s="2" t="s">
        <v>25</v>
      </c>
      <c r="B24" s="2">
        <v>11</v>
      </c>
      <c r="C24" s="2">
        <f>AVERAGE(C2,C3, C4, C6,C7,C8,C9,C10,C11,C12,C13,C14,C15,C16,C17,C19,C20,C21,C22,C23)</f>
        <v>27.1</v>
      </c>
      <c r="E24" s="11">
        <f>AVERAGE(E2:E23)</f>
        <v>18.181818181818183</v>
      </c>
    </row>
    <row r="25" spans="1:18">
      <c r="A25" s="2" t="s">
        <v>23</v>
      </c>
      <c r="B25" s="2">
        <v>8</v>
      </c>
      <c r="C25" s="2">
        <f>STDEV(C2,C3, C4, C6,C7,C8,C9,C10,C11,C12,C13,C14,C15,C16,C17,C19,C20,C21,C22,C23)</f>
        <v>7.5804457583137417</v>
      </c>
      <c r="E25" s="2">
        <f>STDEV(E2:E23)</f>
        <v>2.6301613862553959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17A0-8F9C-4D45-AD47-5CC9E6A31CC0}">
  <dimension ref="A1:I24"/>
  <sheetViews>
    <sheetView workbookViewId="0">
      <selection sqref="A1:I2"/>
    </sheetView>
  </sheetViews>
  <sheetFormatPr baseColWidth="10" defaultRowHeight="16"/>
  <cols>
    <col min="1" max="1" width="18.33203125" bestFit="1" customWidth="1"/>
    <col min="9" max="9" width="92" customWidth="1"/>
  </cols>
  <sheetData>
    <row r="1" spans="1:9">
      <c r="A1" s="4"/>
      <c r="B1" s="4"/>
      <c r="C1" s="4"/>
      <c r="D1" s="26" t="s">
        <v>37</v>
      </c>
      <c r="E1" s="27"/>
      <c r="F1" s="28" t="s">
        <v>38</v>
      </c>
      <c r="G1" s="29"/>
    </row>
    <row r="2" spans="1:9" ht="80" customHeight="1">
      <c r="A2" s="5" t="s">
        <v>39</v>
      </c>
      <c r="B2" s="6" t="s">
        <v>40</v>
      </c>
      <c r="C2" s="7" t="s">
        <v>41</v>
      </c>
      <c r="D2" s="8" t="s">
        <v>42</v>
      </c>
      <c r="E2" s="9" t="s">
        <v>43</v>
      </c>
      <c r="F2" s="8" t="s">
        <v>44</v>
      </c>
      <c r="G2" s="9" t="s">
        <v>45</v>
      </c>
      <c r="I2" s="10" t="s">
        <v>46</v>
      </c>
    </row>
    <row r="3" spans="1:9">
      <c r="A3" s="4" t="s">
        <v>0</v>
      </c>
      <c r="B3" s="4">
        <v>54</v>
      </c>
      <c r="C3">
        <f>B3/2</f>
        <v>27</v>
      </c>
      <c r="D3">
        <f>(C3/2)-2.5</f>
        <v>11</v>
      </c>
      <c r="E3">
        <f>(C3/2)+2.5</f>
        <v>16</v>
      </c>
      <c r="F3">
        <f>(C3*0.2)-1</f>
        <v>4.4000000000000004</v>
      </c>
      <c r="G3">
        <f>(C3*0.2)+1+C3/2</f>
        <v>19.899999999999999</v>
      </c>
    </row>
    <row r="4" spans="1:9">
      <c r="A4" s="4" t="s">
        <v>1</v>
      </c>
      <c r="B4" s="4">
        <v>57</v>
      </c>
      <c r="C4">
        <f>B4/2</f>
        <v>28.5</v>
      </c>
      <c r="D4">
        <f>(C4/2)-2.5</f>
        <v>11.75</v>
      </c>
      <c r="E4">
        <f>(C4/2)+2.5</f>
        <v>16.75</v>
      </c>
      <c r="F4">
        <f>(C4*0.2)-1</f>
        <v>4.7</v>
      </c>
      <c r="G4">
        <f>(C4*0.2)+1+C4/2</f>
        <v>20.95</v>
      </c>
    </row>
    <row r="5" spans="1:9">
      <c r="A5" s="4" t="s">
        <v>2</v>
      </c>
      <c r="B5" s="4">
        <v>59</v>
      </c>
      <c r="C5">
        <f>B5/2</f>
        <v>29.5</v>
      </c>
      <c r="D5">
        <f t="shared" ref="D5" si="0">(C5/2)-2.5</f>
        <v>12.25</v>
      </c>
      <c r="E5">
        <f t="shared" ref="E5" si="1">(C5/2)+2.5</f>
        <v>17.25</v>
      </c>
      <c r="F5">
        <f t="shared" ref="F5" si="2">(C5*0.2)-1</f>
        <v>4.9000000000000004</v>
      </c>
      <c r="G5">
        <f t="shared" ref="G5" si="3">(C5*0.2)+1+C5/2</f>
        <v>21.65</v>
      </c>
    </row>
    <row r="6" spans="1:9">
      <c r="A6" s="4" t="s">
        <v>3</v>
      </c>
      <c r="B6" s="4">
        <v>59</v>
      </c>
      <c r="C6">
        <f>B6/2</f>
        <v>29.5</v>
      </c>
      <c r="D6">
        <f>(C6/2)-2.5</f>
        <v>12.25</v>
      </c>
      <c r="E6">
        <f>(C6/2)+2.5</f>
        <v>17.25</v>
      </c>
      <c r="F6">
        <f>(C6*0.2)-1</f>
        <v>4.9000000000000004</v>
      </c>
      <c r="G6">
        <f>(C6*0.2)+1+C6/2</f>
        <v>21.65</v>
      </c>
    </row>
    <row r="7" spans="1:9">
      <c r="A7" s="4" t="s">
        <v>4</v>
      </c>
      <c r="B7" s="4">
        <v>56</v>
      </c>
      <c r="C7">
        <f t="shared" ref="C7:C24" si="4">B7/2</f>
        <v>28</v>
      </c>
      <c r="D7">
        <f t="shared" ref="D7:D18" si="5">(C7/2)-2.5</f>
        <v>11.5</v>
      </c>
      <c r="E7">
        <f t="shared" ref="E7:E18" si="6">(C7/2)+2.5</f>
        <v>16.5</v>
      </c>
      <c r="F7">
        <f t="shared" ref="F7:F18" si="7">(C7*0.2)-1</f>
        <v>4.6000000000000005</v>
      </c>
      <c r="G7">
        <f t="shared" ref="G7:G18" si="8">(C7*0.2)+1+C7/2</f>
        <v>20.6</v>
      </c>
    </row>
    <row r="8" spans="1:9">
      <c r="A8" s="4" t="s">
        <v>5</v>
      </c>
      <c r="B8" s="4">
        <v>55</v>
      </c>
      <c r="C8">
        <f t="shared" si="4"/>
        <v>27.5</v>
      </c>
      <c r="D8">
        <f t="shared" si="5"/>
        <v>11.25</v>
      </c>
      <c r="E8">
        <f t="shared" si="6"/>
        <v>16.25</v>
      </c>
      <c r="F8">
        <f t="shared" si="7"/>
        <v>4.5</v>
      </c>
      <c r="G8">
        <f t="shared" si="8"/>
        <v>20.25</v>
      </c>
    </row>
    <row r="9" spans="1:9">
      <c r="A9" s="4" t="s">
        <v>6</v>
      </c>
      <c r="B9" s="4">
        <v>58</v>
      </c>
      <c r="C9">
        <f t="shared" si="4"/>
        <v>29</v>
      </c>
      <c r="D9">
        <f t="shared" si="5"/>
        <v>12</v>
      </c>
      <c r="E9">
        <f t="shared" si="6"/>
        <v>17</v>
      </c>
      <c r="F9">
        <f t="shared" si="7"/>
        <v>4.8000000000000007</v>
      </c>
      <c r="G9">
        <f t="shared" si="8"/>
        <v>21.3</v>
      </c>
    </row>
    <row r="10" spans="1:9">
      <c r="A10" s="4" t="s">
        <v>7</v>
      </c>
      <c r="B10" s="4">
        <v>55</v>
      </c>
      <c r="C10">
        <f t="shared" si="4"/>
        <v>27.5</v>
      </c>
      <c r="D10">
        <f t="shared" si="5"/>
        <v>11.25</v>
      </c>
      <c r="E10">
        <f t="shared" si="6"/>
        <v>16.25</v>
      </c>
      <c r="F10">
        <f t="shared" si="7"/>
        <v>4.5</v>
      </c>
      <c r="G10">
        <f t="shared" si="8"/>
        <v>20.25</v>
      </c>
    </row>
    <row r="11" spans="1:9">
      <c r="A11" s="4" t="s">
        <v>8</v>
      </c>
      <c r="B11" s="4">
        <v>55</v>
      </c>
      <c r="C11">
        <f t="shared" si="4"/>
        <v>27.5</v>
      </c>
      <c r="D11">
        <f t="shared" si="5"/>
        <v>11.25</v>
      </c>
      <c r="E11">
        <f t="shared" si="6"/>
        <v>16.25</v>
      </c>
      <c r="F11">
        <f t="shared" si="7"/>
        <v>4.5</v>
      </c>
      <c r="G11">
        <f t="shared" si="8"/>
        <v>20.25</v>
      </c>
    </row>
    <row r="12" spans="1:9">
      <c r="A12" s="4" t="s">
        <v>14</v>
      </c>
      <c r="B12" s="4">
        <v>52</v>
      </c>
      <c r="C12">
        <f t="shared" si="4"/>
        <v>26</v>
      </c>
      <c r="D12">
        <f t="shared" si="5"/>
        <v>10.5</v>
      </c>
      <c r="E12">
        <f t="shared" si="6"/>
        <v>15.5</v>
      </c>
      <c r="F12">
        <f t="shared" si="7"/>
        <v>4.2</v>
      </c>
      <c r="G12">
        <f t="shared" si="8"/>
        <v>19.2</v>
      </c>
      <c r="I12" t="s">
        <v>47</v>
      </c>
    </row>
    <row r="13" spans="1:9">
      <c r="A13" s="4" t="s">
        <v>15</v>
      </c>
      <c r="B13" s="4">
        <v>59</v>
      </c>
      <c r="C13">
        <f t="shared" si="4"/>
        <v>29.5</v>
      </c>
      <c r="D13">
        <f t="shared" si="5"/>
        <v>12.25</v>
      </c>
      <c r="E13">
        <f t="shared" si="6"/>
        <v>17.25</v>
      </c>
      <c r="F13">
        <f t="shared" si="7"/>
        <v>4.9000000000000004</v>
      </c>
      <c r="G13">
        <f t="shared" si="8"/>
        <v>21.65</v>
      </c>
    </row>
    <row r="14" spans="1:9">
      <c r="A14" s="4" t="s">
        <v>16</v>
      </c>
      <c r="B14" s="4">
        <v>55</v>
      </c>
      <c r="C14">
        <f t="shared" si="4"/>
        <v>27.5</v>
      </c>
      <c r="D14">
        <f t="shared" si="5"/>
        <v>11.25</v>
      </c>
      <c r="E14">
        <f t="shared" si="6"/>
        <v>16.25</v>
      </c>
      <c r="F14">
        <f t="shared" si="7"/>
        <v>4.5</v>
      </c>
      <c r="G14">
        <f t="shared" si="8"/>
        <v>20.25</v>
      </c>
    </row>
    <row r="15" spans="1:9">
      <c r="A15" s="4" t="s">
        <v>17</v>
      </c>
      <c r="B15" s="4">
        <v>55</v>
      </c>
      <c r="C15">
        <f t="shared" ref="C15" si="9">B15/2</f>
        <v>27.5</v>
      </c>
      <c r="D15">
        <f t="shared" ref="D15" si="10">(C15/2)-2.5</f>
        <v>11.25</v>
      </c>
      <c r="E15">
        <f t="shared" ref="E15" si="11">(C15/2)+2.5</f>
        <v>16.25</v>
      </c>
      <c r="F15">
        <f t="shared" ref="F15" si="12">(C15*0.2)-1</f>
        <v>4.5</v>
      </c>
      <c r="G15">
        <f t="shared" ref="G15" si="13">(C15*0.2)+1+C15/2</f>
        <v>20.25</v>
      </c>
    </row>
    <row r="16" spans="1:9">
      <c r="A16" s="4" t="s">
        <v>18</v>
      </c>
      <c r="B16" s="4">
        <v>55</v>
      </c>
      <c r="C16">
        <f t="shared" ref="C16:C17" si="14">B16/2</f>
        <v>27.5</v>
      </c>
      <c r="D16">
        <f t="shared" ref="D16:D17" si="15">(C16/2)-2.5</f>
        <v>11.25</v>
      </c>
      <c r="E16">
        <f t="shared" ref="E16:E17" si="16">(C16/2)+2.5</f>
        <v>16.25</v>
      </c>
      <c r="F16">
        <f t="shared" ref="F16:F17" si="17">(C16*0.2)-1</f>
        <v>4.5</v>
      </c>
      <c r="G16">
        <f t="shared" ref="G16:G17" si="18">(C16*0.2)+1+C16/2</f>
        <v>20.25</v>
      </c>
    </row>
    <row r="17" spans="1:8">
      <c r="A17" s="4" t="s">
        <v>19</v>
      </c>
      <c r="B17" s="4">
        <v>56</v>
      </c>
      <c r="C17">
        <f t="shared" si="14"/>
        <v>28</v>
      </c>
      <c r="D17">
        <f t="shared" si="15"/>
        <v>11.5</v>
      </c>
      <c r="E17">
        <f t="shared" si="16"/>
        <v>16.5</v>
      </c>
      <c r="F17">
        <f t="shared" si="17"/>
        <v>4.6000000000000005</v>
      </c>
      <c r="G17">
        <f t="shared" si="18"/>
        <v>20.6</v>
      </c>
    </row>
    <row r="18" spans="1:8">
      <c r="A18" s="4" t="s">
        <v>20</v>
      </c>
      <c r="B18" s="4">
        <v>57</v>
      </c>
      <c r="C18">
        <f t="shared" si="4"/>
        <v>28.5</v>
      </c>
      <c r="D18">
        <f t="shared" si="5"/>
        <v>11.75</v>
      </c>
      <c r="E18">
        <f t="shared" si="6"/>
        <v>16.75</v>
      </c>
      <c r="F18">
        <f t="shared" si="7"/>
        <v>4.7</v>
      </c>
      <c r="G18">
        <f t="shared" si="8"/>
        <v>20.95</v>
      </c>
    </row>
    <row r="19" spans="1:8" s="1" customFormat="1">
      <c r="A19" s="25" t="s">
        <v>21</v>
      </c>
      <c r="B19" s="25">
        <v>0</v>
      </c>
      <c r="C19" s="1">
        <f t="shared" si="4"/>
        <v>0</v>
      </c>
      <c r="D19" s="1">
        <v>0</v>
      </c>
      <c r="E19" s="1">
        <v>0</v>
      </c>
      <c r="F19" s="1">
        <v>0</v>
      </c>
      <c r="G19" s="1">
        <v>0</v>
      </c>
      <c r="H19"/>
    </row>
    <row r="20" spans="1:8">
      <c r="A20" s="4" t="s">
        <v>22</v>
      </c>
      <c r="B20" s="4">
        <v>59</v>
      </c>
      <c r="C20">
        <f t="shared" si="4"/>
        <v>29.5</v>
      </c>
      <c r="D20">
        <f t="shared" ref="D20:D24" si="19">(C20/2)-2.5</f>
        <v>12.25</v>
      </c>
      <c r="E20">
        <f t="shared" ref="E20:E24" si="20">(C20/2)+2.5</f>
        <v>17.25</v>
      </c>
      <c r="F20">
        <f t="shared" ref="F20:F24" si="21">(C20*0.2)-1</f>
        <v>4.9000000000000004</v>
      </c>
      <c r="G20">
        <f t="shared" ref="G20:G24" si="22">(C20*0.2)+1+C20/2</f>
        <v>21.65</v>
      </c>
    </row>
    <row r="21" spans="1:8">
      <c r="A21" s="4" t="s">
        <v>31</v>
      </c>
      <c r="B21" s="4">
        <v>57</v>
      </c>
      <c r="C21">
        <f t="shared" si="4"/>
        <v>28.5</v>
      </c>
      <c r="D21">
        <f t="shared" si="19"/>
        <v>11.75</v>
      </c>
      <c r="E21">
        <f t="shared" si="20"/>
        <v>16.75</v>
      </c>
      <c r="F21">
        <f t="shared" si="21"/>
        <v>4.7</v>
      </c>
      <c r="G21">
        <f t="shared" si="22"/>
        <v>20.95</v>
      </c>
    </row>
    <row r="22" spans="1:8">
      <c r="A22" s="4" t="s">
        <v>32</v>
      </c>
      <c r="B22" s="4">
        <v>52.5</v>
      </c>
      <c r="C22">
        <f t="shared" si="4"/>
        <v>26.25</v>
      </c>
      <c r="D22">
        <f t="shared" si="19"/>
        <v>10.625</v>
      </c>
      <c r="E22">
        <f t="shared" si="20"/>
        <v>15.625</v>
      </c>
      <c r="F22">
        <f t="shared" si="21"/>
        <v>4.25</v>
      </c>
      <c r="G22">
        <f t="shared" si="22"/>
        <v>19.375</v>
      </c>
    </row>
    <row r="23" spans="1:8">
      <c r="A23" s="4" t="s">
        <v>33</v>
      </c>
      <c r="B23" s="4">
        <v>54.5</v>
      </c>
      <c r="C23">
        <f t="shared" si="4"/>
        <v>27.25</v>
      </c>
      <c r="D23">
        <f t="shared" si="19"/>
        <v>11.125</v>
      </c>
      <c r="E23">
        <f t="shared" si="20"/>
        <v>16.125</v>
      </c>
      <c r="F23">
        <f t="shared" si="21"/>
        <v>4.45</v>
      </c>
      <c r="G23">
        <f t="shared" si="22"/>
        <v>20.074999999999999</v>
      </c>
    </row>
    <row r="24" spans="1:8">
      <c r="A24" s="4" t="s">
        <v>34</v>
      </c>
      <c r="B24" s="4">
        <v>57.5</v>
      </c>
      <c r="C24">
        <f t="shared" si="4"/>
        <v>28.75</v>
      </c>
      <c r="D24">
        <f t="shared" si="19"/>
        <v>11.875</v>
      </c>
      <c r="E24">
        <f t="shared" si="20"/>
        <v>16.875</v>
      </c>
      <c r="F24">
        <f t="shared" si="21"/>
        <v>4.75</v>
      </c>
      <c r="G24">
        <f t="shared" si="22"/>
        <v>21.125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1E7D-A75D-6A4D-8711-15AB0C255386}">
  <dimension ref="A1:Q30"/>
  <sheetViews>
    <sheetView tabSelected="1" zoomScale="87" zoomScaleNormal="87" workbookViewId="0">
      <selection activeCell="D13" sqref="D13"/>
    </sheetView>
  </sheetViews>
  <sheetFormatPr baseColWidth="10" defaultRowHeight="16"/>
  <cols>
    <col min="1" max="1" width="13.83203125" bestFit="1" customWidth="1"/>
    <col min="2" max="2" width="22.6640625" bestFit="1" customWidth="1"/>
    <col min="6" max="6" width="22.6640625" bestFit="1" customWidth="1"/>
    <col min="9" max="9" width="10.1640625" bestFit="1" customWidth="1"/>
    <col min="10" max="10" width="22.6640625" bestFit="1" customWidth="1"/>
    <col min="13" max="13" width="10.1640625" bestFit="1" customWidth="1"/>
    <col min="14" max="14" width="22.6640625" bestFit="1" customWidth="1"/>
    <col min="15" max="15" width="27" bestFit="1" customWidth="1"/>
  </cols>
  <sheetData>
    <row r="1" spans="1:17">
      <c r="A1" s="16"/>
      <c r="B1" s="30" t="s">
        <v>56</v>
      </c>
      <c r="C1" s="31"/>
      <c r="D1" s="31"/>
      <c r="E1" s="31"/>
      <c r="F1" s="31"/>
      <c r="G1" s="31"/>
      <c r="H1" s="31"/>
      <c r="I1" s="32"/>
      <c r="J1" s="30" t="s">
        <v>57</v>
      </c>
      <c r="K1" s="31"/>
      <c r="L1" s="31"/>
      <c r="M1" s="31"/>
      <c r="N1" s="31"/>
      <c r="O1" s="31"/>
      <c r="P1" s="31"/>
      <c r="Q1" s="32"/>
    </row>
    <row r="2" spans="1:17">
      <c r="A2" s="16" t="s">
        <v>58</v>
      </c>
      <c r="B2" s="33" t="s">
        <v>59</v>
      </c>
      <c r="C2" s="33"/>
      <c r="D2" s="33"/>
      <c r="E2" s="33"/>
      <c r="F2" s="34" t="s">
        <v>60</v>
      </c>
      <c r="G2" s="34"/>
      <c r="H2" s="14"/>
      <c r="I2" s="14"/>
      <c r="J2" s="33" t="s">
        <v>59</v>
      </c>
      <c r="K2" s="33"/>
      <c r="L2" s="33"/>
      <c r="M2" s="33"/>
      <c r="N2" s="34" t="s">
        <v>60</v>
      </c>
      <c r="O2" s="34"/>
      <c r="P2" s="14"/>
      <c r="Q2" s="14"/>
    </row>
    <row r="3" spans="1:17">
      <c r="A3" s="16"/>
      <c r="B3" s="17" t="s">
        <v>61</v>
      </c>
      <c r="C3" s="17" t="s">
        <v>62</v>
      </c>
      <c r="D3" s="17" t="s">
        <v>63</v>
      </c>
      <c r="E3" s="13" t="s">
        <v>81</v>
      </c>
      <c r="F3" s="14" t="s">
        <v>61</v>
      </c>
      <c r="G3" s="14" t="s">
        <v>62</v>
      </c>
      <c r="H3" s="14" t="s">
        <v>63</v>
      </c>
      <c r="I3" s="14" t="s">
        <v>81</v>
      </c>
      <c r="J3" s="13" t="s">
        <v>61</v>
      </c>
      <c r="K3" s="13" t="s">
        <v>62</v>
      </c>
      <c r="L3" s="13" t="s">
        <v>63</v>
      </c>
      <c r="M3" s="13" t="s">
        <v>81</v>
      </c>
      <c r="N3" s="14" t="s">
        <v>61</v>
      </c>
      <c r="O3" s="14" t="s">
        <v>62</v>
      </c>
      <c r="P3" s="14" t="s">
        <v>64</v>
      </c>
      <c r="Q3" s="14" t="s">
        <v>81</v>
      </c>
    </row>
    <row r="4" spans="1:17">
      <c r="A4" s="16" t="s">
        <v>0</v>
      </c>
      <c r="B4" s="17">
        <v>0.3</v>
      </c>
      <c r="C4" s="17" t="s">
        <v>48</v>
      </c>
      <c r="D4" s="17">
        <v>0.4</v>
      </c>
      <c r="E4" s="13">
        <v>15</v>
      </c>
      <c r="F4" s="14">
        <v>0.4</v>
      </c>
      <c r="G4" s="14" t="s">
        <v>65</v>
      </c>
      <c r="H4" s="14">
        <v>0.5</v>
      </c>
      <c r="I4" s="14">
        <v>10</v>
      </c>
      <c r="J4" s="13" t="s">
        <v>51</v>
      </c>
      <c r="K4" s="13" t="s">
        <v>51</v>
      </c>
      <c r="L4" s="13">
        <v>2</v>
      </c>
      <c r="M4" s="13">
        <v>5</v>
      </c>
      <c r="N4" s="14">
        <v>3</v>
      </c>
      <c r="O4" s="14" t="s">
        <v>55</v>
      </c>
      <c r="P4" s="14">
        <v>3</v>
      </c>
      <c r="Q4" s="14">
        <v>6</v>
      </c>
    </row>
    <row r="5" spans="1:17">
      <c r="A5" s="16" t="s">
        <v>1</v>
      </c>
      <c r="B5" s="17">
        <v>0.5</v>
      </c>
      <c r="C5" s="17" t="s">
        <v>68</v>
      </c>
      <c r="D5" s="17">
        <v>0.5</v>
      </c>
      <c r="E5" s="13">
        <v>2</v>
      </c>
      <c r="F5" s="14">
        <v>0.4</v>
      </c>
      <c r="G5" s="14" t="s">
        <v>55</v>
      </c>
      <c r="H5" s="14">
        <v>0.5</v>
      </c>
      <c r="I5" s="14">
        <v>15</v>
      </c>
      <c r="J5" s="13" t="s">
        <v>51</v>
      </c>
      <c r="K5" s="13" t="s">
        <v>51</v>
      </c>
      <c r="L5" s="13">
        <v>2</v>
      </c>
      <c r="M5" s="13">
        <v>5</v>
      </c>
      <c r="N5" s="14" t="s">
        <v>51</v>
      </c>
      <c r="O5" s="14" t="s">
        <v>51</v>
      </c>
      <c r="P5" s="14">
        <v>3</v>
      </c>
      <c r="Q5" s="14">
        <v>5</v>
      </c>
    </row>
    <row r="6" spans="1:17">
      <c r="A6" s="16" t="s">
        <v>2</v>
      </c>
      <c r="B6" s="17">
        <v>0.3</v>
      </c>
      <c r="C6" s="18" t="s">
        <v>49</v>
      </c>
      <c r="D6" s="17">
        <v>0.4</v>
      </c>
      <c r="E6" s="13">
        <v>7</v>
      </c>
      <c r="F6" s="14">
        <v>0.4</v>
      </c>
      <c r="G6" s="14" t="s">
        <v>49</v>
      </c>
      <c r="H6" s="14">
        <v>0.7</v>
      </c>
      <c r="I6" s="14">
        <v>15</v>
      </c>
      <c r="J6" s="13" t="s">
        <v>51</v>
      </c>
      <c r="K6" s="13" t="s">
        <v>51</v>
      </c>
      <c r="L6" s="13">
        <v>2</v>
      </c>
      <c r="M6" s="13">
        <v>5</v>
      </c>
      <c r="N6" s="14" t="s">
        <v>51</v>
      </c>
      <c r="O6" s="14" t="s">
        <v>51</v>
      </c>
      <c r="P6" s="14">
        <v>3</v>
      </c>
      <c r="Q6" s="14">
        <v>4</v>
      </c>
    </row>
    <row r="7" spans="1:17">
      <c r="A7" s="16" t="s">
        <v>3</v>
      </c>
      <c r="B7" s="17">
        <v>0.3</v>
      </c>
      <c r="C7" s="17" t="s">
        <v>74</v>
      </c>
      <c r="D7" s="17">
        <v>0.5</v>
      </c>
      <c r="E7" s="13">
        <v>10</v>
      </c>
      <c r="F7" s="14">
        <v>0.5</v>
      </c>
      <c r="G7" s="14" t="s">
        <v>75</v>
      </c>
      <c r="H7" s="14">
        <v>0.5</v>
      </c>
      <c r="I7" s="14">
        <v>15</v>
      </c>
      <c r="J7" s="13" t="s">
        <v>51</v>
      </c>
      <c r="K7" s="13" t="s">
        <v>51</v>
      </c>
      <c r="L7" s="13">
        <v>2</v>
      </c>
      <c r="M7" s="13">
        <v>5</v>
      </c>
      <c r="N7" s="14" t="s">
        <v>51</v>
      </c>
      <c r="O7" s="14" t="s">
        <v>51</v>
      </c>
      <c r="P7" s="14">
        <v>3</v>
      </c>
      <c r="Q7" s="14">
        <v>5</v>
      </c>
    </row>
    <row r="8" spans="1:17">
      <c r="A8" s="16" t="s">
        <v>4</v>
      </c>
      <c r="B8" s="17">
        <v>1</v>
      </c>
      <c r="C8" s="17" t="s">
        <v>72</v>
      </c>
      <c r="D8" s="17">
        <v>1</v>
      </c>
      <c r="E8" s="13">
        <v>10</v>
      </c>
      <c r="F8" s="14">
        <v>1.2</v>
      </c>
      <c r="G8" s="14" t="s">
        <v>49</v>
      </c>
      <c r="H8" s="14">
        <v>1.4</v>
      </c>
      <c r="I8" s="14">
        <v>10</v>
      </c>
      <c r="J8" s="13" t="s">
        <v>51</v>
      </c>
      <c r="K8" s="13" t="s">
        <v>51</v>
      </c>
      <c r="L8" s="13">
        <v>2</v>
      </c>
      <c r="M8" s="13">
        <v>6</v>
      </c>
      <c r="N8" s="14" t="s">
        <v>51</v>
      </c>
      <c r="O8" s="14" t="s">
        <v>51</v>
      </c>
      <c r="P8" s="14">
        <v>3</v>
      </c>
      <c r="Q8" s="14">
        <v>10</v>
      </c>
    </row>
    <row r="9" spans="1:17">
      <c r="A9" s="16" t="s">
        <v>5</v>
      </c>
      <c r="B9" s="17">
        <v>0.3</v>
      </c>
      <c r="C9" s="17" t="s">
        <v>68</v>
      </c>
      <c r="D9" s="17" t="s">
        <v>73</v>
      </c>
      <c r="E9" s="13">
        <v>9</v>
      </c>
      <c r="F9" s="14">
        <v>0.3</v>
      </c>
      <c r="G9" s="14" t="s">
        <v>49</v>
      </c>
      <c r="H9" s="14">
        <v>0.5</v>
      </c>
      <c r="I9" s="14">
        <v>10</v>
      </c>
      <c r="J9" s="13" t="s">
        <v>51</v>
      </c>
      <c r="K9" s="13" t="s">
        <v>51</v>
      </c>
      <c r="L9" s="13">
        <v>2</v>
      </c>
      <c r="M9" s="13">
        <v>2</v>
      </c>
      <c r="N9" s="14" t="s">
        <v>51</v>
      </c>
      <c r="O9" s="14" t="s">
        <v>51</v>
      </c>
      <c r="P9" s="14">
        <v>3</v>
      </c>
      <c r="Q9" s="14">
        <v>5</v>
      </c>
    </row>
    <row r="10" spans="1:17">
      <c r="A10" s="16" t="s">
        <v>6</v>
      </c>
      <c r="B10" s="17">
        <v>0.5</v>
      </c>
      <c r="C10" s="17" t="s">
        <v>68</v>
      </c>
      <c r="D10" s="17">
        <v>0.7</v>
      </c>
      <c r="E10" s="13">
        <v>10</v>
      </c>
      <c r="F10" s="14">
        <v>0.7</v>
      </c>
      <c r="G10" s="14" t="s">
        <v>50</v>
      </c>
      <c r="H10" s="14">
        <v>0.7</v>
      </c>
      <c r="I10" s="14">
        <v>12</v>
      </c>
      <c r="J10" s="13" t="s">
        <v>51</v>
      </c>
      <c r="K10" s="13" t="s">
        <v>51</v>
      </c>
      <c r="L10" s="13">
        <v>2</v>
      </c>
      <c r="M10" s="13">
        <v>5</v>
      </c>
      <c r="N10" s="14" t="s">
        <v>51</v>
      </c>
      <c r="O10" s="14" t="s">
        <v>51</v>
      </c>
      <c r="P10" s="14">
        <v>3</v>
      </c>
      <c r="Q10" s="14">
        <v>5</v>
      </c>
    </row>
    <row r="11" spans="1:17">
      <c r="A11" s="16" t="s">
        <v>7</v>
      </c>
      <c r="B11" s="17">
        <v>0.7</v>
      </c>
      <c r="C11" s="17" t="s">
        <v>68</v>
      </c>
      <c r="D11" s="17">
        <v>1</v>
      </c>
      <c r="E11" s="13">
        <v>5</v>
      </c>
      <c r="F11" s="14">
        <v>0.7</v>
      </c>
      <c r="G11" s="14" t="s">
        <v>74</v>
      </c>
      <c r="H11" s="14">
        <v>1.5</v>
      </c>
      <c r="I11" s="14">
        <v>16</v>
      </c>
      <c r="J11" s="13" t="s">
        <v>51</v>
      </c>
      <c r="K11" s="13" t="s">
        <v>51</v>
      </c>
      <c r="L11" s="13">
        <v>2</v>
      </c>
      <c r="M11" s="13">
        <v>5</v>
      </c>
      <c r="N11" s="14" t="s">
        <v>51</v>
      </c>
      <c r="O11" s="14" t="s">
        <v>51</v>
      </c>
      <c r="P11" s="14">
        <v>3</v>
      </c>
      <c r="Q11" s="14">
        <v>5</v>
      </c>
    </row>
    <row r="12" spans="1:17">
      <c r="A12" s="16" t="s">
        <v>8</v>
      </c>
      <c r="B12" s="17">
        <v>0.7</v>
      </c>
      <c r="C12" s="17" t="s">
        <v>52</v>
      </c>
      <c r="D12" s="17">
        <v>0.7</v>
      </c>
      <c r="E12" s="13">
        <v>4</v>
      </c>
      <c r="F12" s="14">
        <v>0.7</v>
      </c>
      <c r="G12" s="14" t="s">
        <v>49</v>
      </c>
      <c r="H12" s="14">
        <v>1</v>
      </c>
      <c r="I12" s="14">
        <v>10</v>
      </c>
      <c r="J12" s="13" t="s">
        <v>51</v>
      </c>
      <c r="K12" s="13" t="s">
        <v>51</v>
      </c>
      <c r="L12" s="13">
        <v>2</v>
      </c>
      <c r="M12" s="13">
        <v>6</v>
      </c>
      <c r="N12" s="14" t="s">
        <v>51</v>
      </c>
      <c r="O12" s="14" t="s">
        <v>51</v>
      </c>
      <c r="P12" s="14">
        <v>3</v>
      </c>
      <c r="Q12" s="14">
        <v>5</v>
      </c>
    </row>
    <row r="13" spans="1:17">
      <c r="A13" s="16" t="s">
        <v>14</v>
      </c>
      <c r="B13" s="17">
        <v>0.3</v>
      </c>
      <c r="C13" s="17" t="s">
        <v>68</v>
      </c>
      <c r="D13" s="17">
        <v>0.7</v>
      </c>
      <c r="E13" s="13">
        <v>12</v>
      </c>
      <c r="F13" s="14">
        <v>1.2</v>
      </c>
      <c r="G13" s="14" t="s">
        <v>52</v>
      </c>
      <c r="H13" s="14">
        <v>1.5</v>
      </c>
      <c r="I13" s="14">
        <v>12</v>
      </c>
      <c r="J13" s="13" t="s">
        <v>51</v>
      </c>
      <c r="K13" s="13" t="s">
        <v>51</v>
      </c>
      <c r="L13" s="13">
        <v>2</v>
      </c>
      <c r="M13" s="13" t="s">
        <v>66</v>
      </c>
      <c r="N13" s="14" t="s">
        <v>51</v>
      </c>
      <c r="O13" s="14" t="s">
        <v>51</v>
      </c>
      <c r="P13" s="14">
        <v>3</v>
      </c>
      <c r="Q13" s="14" t="s">
        <v>67</v>
      </c>
    </row>
    <row r="14" spans="1:17">
      <c r="A14" s="16" t="s">
        <v>15</v>
      </c>
      <c r="B14" s="17">
        <v>0.5</v>
      </c>
      <c r="C14" s="17" t="s">
        <v>68</v>
      </c>
      <c r="D14" s="17">
        <v>0.7</v>
      </c>
      <c r="E14" s="13">
        <v>5</v>
      </c>
      <c r="F14" s="14">
        <v>0.5</v>
      </c>
      <c r="G14" s="14" t="s">
        <v>74</v>
      </c>
      <c r="H14" s="14">
        <v>0.7</v>
      </c>
      <c r="I14" s="14">
        <v>12</v>
      </c>
      <c r="J14" s="13" t="s">
        <v>51</v>
      </c>
      <c r="K14" s="13" t="s">
        <v>51</v>
      </c>
      <c r="L14" s="13">
        <v>2</v>
      </c>
      <c r="M14" s="13" t="s">
        <v>66</v>
      </c>
      <c r="N14" s="14" t="s">
        <v>51</v>
      </c>
      <c r="O14" s="14" t="s">
        <v>51</v>
      </c>
      <c r="P14" s="14">
        <v>3</v>
      </c>
      <c r="Q14" s="14" t="s">
        <v>69</v>
      </c>
    </row>
    <row r="15" spans="1:17">
      <c r="A15" s="16" t="s">
        <v>16</v>
      </c>
      <c r="B15" s="17">
        <v>0.3</v>
      </c>
      <c r="C15" s="17" t="s">
        <v>68</v>
      </c>
      <c r="D15" s="17">
        <v>0.7</v>
      </c>
      <c r="E15" s="13">
        <v>12</v>
      </c>
      <c r="F15" s="14">
        <v>1.2</v>
      </c>
      <c r="G15" s="14" t="s">
        <v>49</v>
      </c>
      <c r="H15" s="14">
        <v>1.5</v>
      </c>
      <c r="I15" s="14">
        <v>12</v>
      </c>
      <c r="J15" s="13" t="s">
        <v>51</v>
      </c>
      <c r="K15" s="13" t="s">
        <v>51</v>
      </c>
      <c r="L15" s="13">
        <v>2</v>
      </c>
      <c r="M15" s="13" t="s">
        <v>70</v>
      </c>
      <c r="N15" s="14" t="s">
        <v>51</v>
      </c>
      <c r="O15" s="14" t="s">
        <v>51</v>
      </c>
      <c r="P15" s="14">
        <v>3</v>
      </c>
      <c r="Q15" s="14" t="s">
        <v>69</v>
      </c>
    </row>
    <row r="16" spans="1:17">
      <c r="A16" s="16" t="s">
        <v>17</v>
      </c>
      <c r="B16" s="17">
        <v>0.5</v>
      </c>
      <c r="C16" s="17" t="s">
        <v>55</v>
      </c>
      <c r="D16" s="17">
        <v>0.7</v>
      </c>
      <c r="E16" s="13">
        <v>25</v>
      </c>
      <c r="F16" s="14">
        <v>0.5</v>
      </c>
      <c r="G16" s="14" t="s">
        <v>52</v>
      </c>
      <c r="H16" s="14">
        <v>0.7</v>
      </c>
      <c r="I16" s="14">
        <v>11</v>
      </c>
      <c r="J16" s="13" t="s">
        <v>51</v>
      </c>
      <c r="K16" s="13" t="s">
        <v>51</v>
      </c>
      <c r="L16" s="13">
        <v>2</v>
      </c>
      <c r="M16" s="13" t="s">
        <v>66</v>
      </c>
      <c r="N16" s="14" t="s">
        <v>51</v>
      </c>
      <c r="O16" s="14" t="s">
        <v>51</v>
      </c>
      <c r="P16" s="14">
        <v>3</v>
      </c>
      <c r="Q16" s="14" t="s">
        <v>71</v>
      </c>
    </row>
    <row r="17" spans="1:17">
      <c r="A17" s="16" t="s">
        <v>18</v>
      </c>
      <c r="B17" s="17">
        <v>0.3</v>
      </c>
      <c r="C17" s="17" t="s">
        <v>49</v>
      </c>
      <c r="D17" s="17">
        <v>0.5</v>
      </c>
      <c r="E17" s="13" t="s">
        <v>36</v>
      </c>
      <c r="F17" s="14">
        <v>0.5</v>
      </c>
      <c r="G17" s="14" t="s">
        <v>49</v>
      </c>
      <c r="H17" s="14">
        <v>0.7</v>
      </c>
      <c r="I17" s="14" t="s">
        <v>36</v>
      </c>
      <c r="J17" s="13" t="s">
        <v>51</v>
      </c>
      <c r="K17" s="13" t="s">
        <v>51</v>
      </c>
      <c r="L17" s="13">
        <v>2</v>
      </c>
      <c r="M17" s="13" t="s">
        <v>36</v>
      </c>
      <c r="N17" s="14" t="s">
        <v>51</v>
      </c>
      <c r="O17" s="14" t="s">
        <v>51</v>
      </c>
      <c r="P17" s="14">
        <v>3</v>
      </c>
      <c r="Q17" s="14" t="s">
        <v>36</v>
      </c>
    </row>
    <row r="18" spans="1:17">
      <c r="A18" s="16" t="s">
        <v>19</v>
      </c>
      <c r="B18" s="17">
        <v>0.3</v>
      </c>
      <c r="C18" s="17" t="s">
        <v>49</v>
      </c>
      <c r="D18" s="17">
        <v>0.5</v>
      </c>
      <c r="E18" s="13" t="s">
        <v>36</v>
      </c>
      <c r="F18" s="14">
        <v>0.5</v>
      </c>
      <c r="G18" s="14" t="s">
        <v>49</v>
      </c>
      <c r="H18" s="14">
        <v>0.5</v>
      </c>
      <c r="I18" s="14" t="s">
        <v>36</v>
      </c>
      <c r="J18" s="13">
        <v>2</v>
      </c>
      <c r="K18" s="13" t="s">
        <v>49</v>
      </c>
      <c r="L18" s="13">
        <v>2</v>
      </c>
      <c r="M18" s="13" t="s">
        <v>36</v>
      </c>
      <c r="N18" s="14">
        <v>3</v>
      </c>
      <c r="O18" s="14" t="s">
        <v>49</v>
      </c>
      <c r="P18" s="14">
        <v>3</v>
      </c>
      <c r="Q18" s="14" t="s">
        <v>36</v>
      </c>
    </row>
    <row r="19" spans="1:17">
      <c r="A19" s="16" t="s">
        <v>20</v>
      </c>
      <c r="B19" s="17">
        <v>0.5</v>
      </c>
      <c r="C19" s="17" t="s">
        <v>68</v>
      </c>
      <c r="D19" s="17">
        <v>0.7</v>
      </c>
      <c r="E19" s="13" t="s">
        <v>36</v>
      </c>
      <c r="F19" s="14">
        <v>0.5</v>
      </c>
      <c r="G19" s="14" t="s">
        <v>68</v>
      </c>
      <c r="H19" s="14">
        <v>0.7</v>
      </c>
      <c r="I19" s="14" t="s">
        <v>36</v>
      </c>
      <c r="J19" s="13" t="s">
        <v>51</v>
      </c>
      <c r="K19" s="13" t="s">
        <v>51</v>
      </c>
      <c r="L19" s="13">
        <v>2</v>
      </c>
      <c r="M19" s="13" t="s">
        <v>36</v>
      </c>
      <c r="N19" s="14" t="s">
        <v>51</v>
      </c>
      <c r="O19" s="14" t="s">
        <v>51</v>
      </c>
      <c r="P19" s="14">
        <v>3</v>
      </c>
      <c r="Q19" s="14" t="s">
        <v>36</v>
      </c>
    </row>
    <row r="20" spans="1:17" s="1" customFormat="1">
      <c r="A20" s="20" t="s">
        <v>21</v>
      </c>
      <c r="B20" s="21">
        <v>0.3</v>
      </c>
      <c r="C20" s="21" t="s">
        <v>49</v>
      </c>
      <c r="D20" s="21">
        <v>0.5</v>
      </c>
      <c r="E20" s="21" t="s">
        <v>36</v>
      </c>
      <c r="F20" s="22">
        <v>0.5</v>
      </c>
      <c r="G20" s="22" t="s">
        <v>49</v>
      </c>
      <c r="H20" s="22">
        <v>0.7</v>
      </c>
      <c r="I20" s="22" t="s">
        <v>36</v>
      </c>
      <c r="J20" s="21" t="s">
        <v>51</v>
      </c>
      <c r="K20" s="21" t="s">
        <v>51</v>
      </c>
      <c r="L20" s="21">
        <v>2</v>
      </c>
      <c r="M20" s="21" t="s">
        <v>36</v>
      </c>
      <c r="N20" s="22" t="s">
        <v>51</v>
      </c>
      <c r="O20" s="22" t="s">
        <v>51</v>
      </c>
      <c r="P20" s="22">
        <v>3</v>
      </c>
      <c r="Q20" s="22" t="s">
        <v>36</v>
      </c>
    </row>
    <row r="21" spans="1:17">
      <c r="A21" s="16" t="s">
        <v>22</v>
      </c>
      <c r="B21" s="13">
        <v>0.5</v>
      </c>
      <c r="C21" s="13" t="s">
        <v>49</v>
      </c>
      <c r="D21" s="13">
        <v>0.5</v>
      </c>
      <c r="E21" s="13" t="s">
        <v>36</v>
      </c>
      <c r="F21" s="14">
        <v>0.7</v>
      </c>
      <c r="G21" s="14" t="s">
        <v>49</v>
      </c>
      <c r="H21" s="14">
        <v>1</v>
      </c>
      <c r="I21" s="14" t="s">
        <v>36</v>
      </c>
      <c r="J21" s="13" t="s">
        <v>51</v>
      </c>
      <c r="K21" s="13" t="s">
        <v>51</v>
      </c>
      <c r="L21" s="13">
        <v>2</v>
      </c>
      <c r="M21" s="13" t="s">
        <v>36</v>
      </c>
      <c r="N21" s="14" t="s">
        <v>51</v>
      </c>
      <c r="O21" s="14" t="s">
        <v>51</v>
      </c>
      <c r="P21" s="14">
        <v>3</v>
      </c>
      <c r="Q21" s="14" t="s">
        <v>36</v>
      </c>
    </row>
    <row r="22" spans="1:17">
      <c r="A22" s="16" t="s">
        <v>31</v>
      </c>
      <c r="B22" s="13">
        <v>0.3</v>
      </c>
      <c r="C22" s="13" t="s">
        <v>52</v>
      </c>
      <c r="D22" s="13">
        <v>0.5</v>
      </c>
      <c r="E22" s="13">
        <v>5.6</v>
      </c>
      <c r="F22" s="14">
        <v>0.7</v>
      </c>
      <c r="G22" s="14" t="s">
        <v>83</v>
      </c>
      <c r="H22" s="14">
        <v>0.7</v>
      </c>
      <c r="I22" s="14">
        <v>10</v>
      </c>
      <c r="J22" s="13" t="s">
        <v>51</v>
      </c>
      <c r="K22" s="13" t="s">
        <v>51</v>
      </c>
      <c r="L22" s="13">
        <v>2</v>
      </c>
      <c r="M22" s="13">
        <v>2.6</v>
      </c>
      <c r="N22" s="14">
        <v>3</v>
      </c>
      <c r="O22" s="14" t="s">
        <v>53</v>
      </c>
      <c r="P22" s="14">
        <v>3</v>
      </c>
      <c r="Q22" s="14">
        <v>33</v>
      </c>
    </row>
    <row r="23" spans="1:17">
      <c r="A23" s="16" t="s">
        <v>32</v>
      </c>
      <c r="B23" s="13">
        <v>0.3</v>
      </c>
      <c r="C23" s="13" t="s">
        <v>52</v>
      </c>
      <c r="D23" s="13">
        <v>0.5</v>
      </c>
      <c r="E23" s="13">
        <v>10</v>
      </c>
      <c r="F23" s="14">
        <v>0.5</v>
      </c>
      <c r="G23" s="14" t="s">
        <v>74</v>
      </c>
      <c r="H23" s="14">
        <v>0.7</v>
      </c>
      <c r="I23" s="14">
        <v>23</v>
      </c>
      <c r="J23" s="13" t="s">
        <v>51</v>
      </c>
      <c r="K23" s="13" t="s">
        <v>51</v>
      </c>
      <c r="L23" s="15">
        <v>2</v>
      </c>
      <c r="M23" s="13">
        <v>5</v>
      </c>
      <c r="N23" s="14">
        <v>2</v>
      </c>
      <c r="O23" s="14" t="s">
        <v>76</v>
      </c>
      <c r="P23" s="14">
        <v>3</v>
      </c>
      <c r="Q23" s="14">
        <v>1</v>
      </c>
    </row>
    <row r="24" spans="1:17">
      <c r="A24" s="16" t="s">
        <v>33</v>
      </c>
      <c r="B24" s="13">
        <v>0.5</v>
      </c>
      <c r="C24" s="13" t="s">
        <v>52</v>
      </c>
      <c r="D24" s="13">
        <v>0.7</v>
      </c>
      <c r="E24" s="13">
        <v>10</v>
      </c>
      <c r="F24" s="14">
        <v>0.5</v>
      </c>
      <c r="G24" s="14" t="s">
        <v>83</v>
      </c>
      <c r="H24" s="14">
        <v>0.7</v>
      </c>
      <c r="I24" s="14">
        <v>10</v>
      </c>
      <c r="J24" s="13" t="s">
        <v>51</v>
      </c>
      <c r="K24" s="13" t="s">
        <v>51</v>
      </c>
      <c r="L24" s="13">
        <v>2</v>
      </c>
      <c r="M24" s="13">
        <v>1</v>
      </c>
      <c r="N24" s="14">
        <v>3</v>
      </c>
      <c r="O24" s="14" t="s">
        <v>54</v>
      </c>
      <c r="P24" s="14">
        <v>3</v>
      </c>
      <c r="Q24" s="14">
        <v>1</v>
      </c>
    </row>
    <row r="25" spans="1:17">
      <c r="A25" s="16" t="s">
        <v>34</v>
      </c>
      <c r="B25" s="13">
        <v>0.5</v>
      </c>
      <c r="C25" s="13" t="s">
        <v>55</v>
      </c>
      <c r="D25" s="13">
        <v>0.7</v>
      </c>
      <c r="E25" s="13">
        <v>10</v>
      </c>
      <c r="F25" s="14">
        <v>0.5</v>
      </c>
      <c r="G25" s="14" t="s">
        <v>55</v>
      </c>
      <c r="H25" s="14">
        <v>0.7</v>
      </c>
      <c r="I25" s="14">
        <v>10</v>
      </c>
      <c r="J25" s="13" t="s">
        <v>51</v>
      </c>
      <c r="K25" s="13" t="s">
        <v>51</v>
      </c>
      <c r="L25" s="13">
        <v>2</v>
      </c>
      <c r="M25" s="13">
        <v>5</v>
      </c>
      <c r="N25" s="14" t="s">
        <v>51</v>
      </c>
      <c r="O25" s="14" t="s">
        <v>51</v>
      </c>
      <c r="P25" s="14">
        <v>3</v>
      </c>
      <c r="Q25" s="14">
        <v>3</v>
      </c>
    </row>
    <row r="27" spans="1:17">
      <c r="A27" s="19" t="s">
        <v>77</v>
      </c>
      <c r="B27">
        <f>AVERAGE(B4:B25)</f>
        <v>0.44090909090909097</v>
      </c>
      <c r="F27">
        <f t="shared" ref="F27" si="0">AVERAGE(F4:F25)</f>
        <v>0.61818181818181817</v>
      </c>
    </row>
    <row r="28" spans="1:17">
      <c r="A28" s="19" t="s">
        <v>78</v>
      </c>
      <c r="B28">
        <f>STDEV(B4:B25)</f>
        <v>0.18168285006752269</v>
      </c>
      <c r="F28">
        <f t="shared" ref="F28" si="1">STDEV(F4:F25)</f>
        <v>0.26119936490180878</v>
      </c>
    </row>
    <row r="29" spans="1:17">
      <c r="A29" s="19" t="s">
        <v>79</v>
      </c>
      <c r="B29">
        <f>MIN(B4:B25)</f>
        <v>0.3</v>
      </c>
      <c r="F29">
        <f t="shared" ref="F29" si="2">MIN(F4:F25)</f>
        <v>0.3</v>
      </c>
    </row>
    <row r="30" spans="1:17">
      <c r="A30" s="19" t="s">
        <v>80</v>
      </c>
      <c r="B30">
        <f>MAX(B4:B25)</f>
        <v>1</v>
      </c>
      <c r="F30">
        <f t="shared" ref="F30" si="3">MAX(F4:F25)</f>
        <v>1.2</v>
      </c>
    </row>
  </sheetData>
  <mergeCells count="6">
    <mergeCell ref="B1:I1"/>
    <mergeCell ref="J1:Q1"/>
    <mergeCell ref="B2:E2"/>
    <mergeCell ref="F2:G2"/>
    <mergeCell ref="J2:M2"/>
    <mergeCell ref="N2:O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</vt:lpstr>
      <vt:lpstr>Head_size</vt:lpstr>
      <vt:lpstr>Sensation_thresholds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Violante</dc:creator>
  <cp:lastModifiedBy>Ines Violante</cp:lastModifiedBy>
  <dcterms:created xsi:type="dcterms:W3CDTF">2019-07-08T11:10:03Z</dcterms:created>
  <dcterms:modified xsi:type="dcterms:W3CDTF">2023-09-03T16:37:04Z</dcterms:modified>
</cp:coreProperties>
</file>